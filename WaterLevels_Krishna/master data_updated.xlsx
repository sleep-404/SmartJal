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PGWD_APTS\NTR Data\"/>
    </mc:Choice>
  </mc:AlternateContent>
  <xr:revisionPtr revIDLastSave="0" documentId="13_ncr:1_{F86503A7-6164-4E1C-AE4B-65A49D64165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eta-historical" sheetId="1" r:id="rId1"/>
    <sheet name="stratification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N45" i="1" l="1"/>
  <c r="MP45" i="1"/>
  <c r="MQ45" i="1"/>
  <c r="MR45" i="1"/>
  <c r="MS45" i="1"/>
  <c r="MN46" i="1"/>
  <c r="MP46" i="1"/>
  <c r="MQ46" i="1"/>
  <c r="MR46" i="1"/>
  <c r="MS46" i="1"/>
  <c r="MN47" i="1"/>
  <c r="MP47" i="1"/>
  <c r="MQ47" i="1"/>
  <c r="MR47" i="1"/>
  <c r="MS47" i="1"/>
  <c r="MN48" i="1"/>
  <c r="MP48" i="1"/>
  <c r="MQ48" i="1"/>
  <c r="MR48" i="1"/>
  <c r="MS48" i="1"/>
  <c r="MN49" i="1"/>
  <c r="MP49" i="1"/>
  <c r="MQ49" i="1"/>
  <c r="MR49" i="1"/>
  <c r="MS49" i="1"/>
  <c r="MN50" i="1"/>
  <c r="MP50" i="1"/>
  <c r="MQ50" i="1"/>
  <c r="MR50" i="1"/>
  <c r="MS50" i="1"/>
  <c r="MN51" i="1"/>
  <c r="MP51" i="1"/>
  <c r="MQ51" i="1"/>
  <c r="MR51" i="1"/>
  <c r="MS51" i="1"/>
  <c r="MN52" i="1"/>
  <c r="MP52" i="1"/>
  <c r="MQ52" i="1"/>
  <c r="MR52" i="1"/>
  <c r="MS52" i="1"/>
  <c r="MN53" i="1"/>
  <c r="MP53" i="1"/>
  <c r="MQ53" i="1"/>
  <c r="MR53" i="1"/>
  <c r="MS53" i="1"/>
  <c r="MN54" i="1"/>
  <c r="MP54" i="1"/>
  <c r="MQ54" i="1"/>
  <c r="MR54" i="1"/>
  <c r="MS54" i="1"/>
  <c r="MN55" i="1"/>
  <c r="MO55" i="1"/>
  <c r="MP55" i="1"/>
  <c r="MQ55" i="1"/>
  <c r="MN56" i="1"/>
  <c r="MP56" i="1"/>
  <c r="MQ56" i="1"/>
  <c r="MR56" i="1"/>
  <c r="MS56" i="1"/>
  <c r="MN57" i="1"/>
  <c r="MP57" i="1"/>
  <c r="MQ57" i="1"/>
  <c r="MR57" i="1"/>
  <c r="MS57" i="1"/>
  <c r="MN58" i="1"/>
  <c r="MP58" i="1"/>
  <c r="MQ58" i="1"/>
  <c r="MR58" i="1"/>
  <c r="MS58" i="1"/>
  <c r="MN59" i="1"/>
  <c r="MP59" i="1"/>
  <c r="MQ59" i="1"/>
  <c r="MR59" i="1"/>
  <c r="MS59" i="1"/>
  <c r="MN60" i="1"/>
  <c r="MP60" i="1"/>
  <c r="MQ60" i="1"/>
  <c r="MR60" i="1"/>
  <c r="MS60" i="1"/>
  <c r="MN61" i="1"/>
  <c r="MP61" i="1"/>
  <c r="MQ61" i="1"/>
  <c r="MR61" i="1"/>
  <c r="MS61" i="1"/>
  <c r="MN62" i="1"/>
  <c r="MP62" i="1"/>
  <c r="MQ62" i="1"/>
  <c r="MR62" i="1"/>
  <c r="MS62" i="1"/>
  <c r="MN63" i="1"/>
  <c r="MP63" i="1"/>
  <c r="MQ63" i="1"/>
  <c r="MR63" i="1"/>
  <c r="MS63" i="1"/>
  <c r="MN64" i="1"/>
  <c r="MP64" i="1"/>
  <c r="MQ64" i="1"/>
  <c r="MR64" i="1"/>
  <c r="MS64" i="1"/>
  <c r="MN65" i="1"/>
  <c r="MO65" i="1"/>
  <c r="MP65" i="1"/>
  <c r="MQ65" i="1"/>
  <c r="MN31" i="1"/>
  <c r="MP31" i="1"/>
  <c r="MQ31" i="1"/>
  <c r="MR31" i="1"/>
  <c r="MS31" i="1"/>
  <c r="MN32" i="1"/>
  <c r="MP32" i="1"/>
  <c r="MQ32" i="1"/>
  <c r="MR32" i="1"/>
  <c r="MS32" i="1"/>
  <c r="MN33" i="1"/>
  <c r="MP33" i="1"/>
  <c r="MQ33" i="1"/>
  <c r="MR33" i="1"/>
  <c r="MS33" i="1"/>
  <c r="MN34" i="1"/>
  <c r="MP34" i="1"/>
  <c r="MQ34" i="1"/>
  <c r="MR34" i="1"/>
  <c r="MS34" i="1"/>
  <c r="MN35" i="1"/>
  <c r="MP35" i="1"/>
  <c r="MQ35" i="1"/>
  <c r="MR35" i="1"/>
  <c r="MS35" i="1"/>
  <c r="MN36" i="1"/>
  <c r="MP36" i="1"/>
  <c r="MQ36" i="1"/>
  <c r="MR36" i="1"/>
  <c r="MS36" i="1"/>
  <c r="MN37" i="1"/>
  <c r="MP37" i="1"/>
  <c r="MQ37" i="1"/>
  <c r="MR37" i="1"/>
  <c r="MS37" i="1"/>
  <c r="MN38" i="1"/>
  <c r="MP38" i="1"/>
  <c r="MQ38" i="1"/>
  <c r="MR38" i="1"/>
  <c r="MS38" i="1"/>
  <c r="MN39" i="1"/>
  <c r="MP39" i="1"/>
  <c r="MQ39" i="1"/>
  <c r="MR39" i="1"/>
  <c r="MS39" i="1"/>
  <c r="MN40" i="1"/>
  <c r="MP40" i="1"/>
  <c r="MQ40" i="1"/>
  <c r="MR40" i="1"/>
  <c r="MS40" i="1"/>
  <c r="MN41" i="1"/>
  <c r="MP41" i="1"/>
  <c r="MQ41" i="1"/>
  <c r="MR41" i="1"/>
  <c r="MS41" i="1"/>
  <c r="MN42" i="1"/>
  <c r="MP42" i="1"/>
  <c r="MQ42" i="1"/>
  <c r="MR42" i="1"/>
  <c r="MS42" i="1"/>
  <c r="MN43" i="1"/>
  <c r="MP43" i="1"/>
  <c r="MQ43" i="1"/>
  <c r="MR43" i="1"/>
  <c r="MS43" i="1"/>
  <c r="MN44" i="1"/>
  <c r="MP44" i="1"/>
  <c r="MQ44" i="1"/>
  <c r="MR44" i="1"/>
  <c r="MS44" i="1"/>
  <c r="MN3" i="1"/>
  <c r="MP3" i="1"/>
  <c r="MQ3" i="1"/>
  <c r="MR3" i="1"/>
  <c r="MS3" i="1"/>
  <c r="MN4" i="1"/>
  <c r="MP4" i="1"/>
  <c r="MQ4" i="1"/>
  <c r="MR4" i="1"/>
  <c r="MS4" i="1"/>
  <c r="MN5" i="1"/>
  <c r="MP5" i="1"/>
  <c r="MQ5" i="1"/>
  <c r="MR5" i="1"/>
  <c r="MS5" i="1"/>
  <c r="MT5" i="1"/>
  <c r="MN6" i="1"/>
  <c r="MP6" i="1"/>
  <c r="MQ6" i="1"/>
  <c r="MR6" i="1"/>
  <c r="MS6" i="1"/>
  <c r="MN7" i="1"/>
  <c r="MP7" i="1"/>
  <c r="MN8" i="1"/>
  <c r="MP8" i="1"/>
  <c r="MQ8" i="1"/>
  <c r="MR8" i="1"/>
  <c r="MS8" i="1"/>
  <c r="MN9" i="1"/>
  <c r="MP9" i="1"/>
  <c r="MQ9" i="1"/>
  <c r="MR9" i="1"/>
  <c r="MS9" i="1"/>
  <c r="MN10" i="1"/>
  <c r="MP10" i="1"/>
  <c r="MQ10" i="1"/>
  <c r="MR10" i="1"/>
  <c r="MS10" i="1"/>
  <c r="MN11" i="1"/>
  <c r="MP11" i="1"/>
  <c r="MQ11" i="1"/>
  <c r="MR11" i="1"/>
  <c r="MS11" i="1"/>
  <c r="MN12" i="1"/>
  <c r="MP12" i="1"/>
  <c r="MQ12" i="1"/>
  <c r="MR12" i="1"/>
  <c r="MS12" i="1"/>
  <c r="MN13" i="1"/>
  <c r="MP13" i="1"/>
  <c r="MQ13" i="1"/>
  <c r="MR13" i="1"/>
  <c r="MS13" i="1"/>
  <c r="MN14" i="1"/>
  <c r="MP14" i="1"/>
  <c r="MQ14" i="1"/>
  <c r="MR14" i="1"/>
  <c r="MS14" i="1"/>
  <c r="MN15" i="1"/>
  <c r="MP15" i="1"/>
  <c r="MQ15" i="1"/>
  <c r="MR15" i="1"/>
  <c r="MS15" i="1"/>
  <c r="MN16" i="1"/>
  <c r="MP16" i="1"/>
  <c r="MQ16" i="1"/>
  <c r="MR16" i="1"/>
  <c r="MS16" i="1"/>
  <c r="MN17" i="1"/>
  <c r="MP17" i="1"/>
  <c r="MQ17" i="1"/>
  <c r="MR17" i="1"/>
  <c r="MS17" i="1"/>
  <c r="MN18" i="1"/>
  <c r="MP18" i="1"/>
  <c r="MQ18" i="1"/>
  <c r="MR18" i="1"/>
  <c r="MS18" i="1"/>
  <c r="MN19" i="1"/>
  <c r="MP19" i="1"/>
  <c r="MQ19" i="1"/>
  <c r="MR19" i="1"/>
  <c r="MS19" i="1"/>
  <c r="MN20" i="1"/>
  <c r="MP20" i="1"/>
  <c r="MQ20" i="1"/>
  <c r="MR20" i="1"/>
  <c r="MS20" i="1"/>
  <c r="MN21" i="1"/>
  <c r="MP21" i="1"/>
  <c r="MQ21" i="1"/>
  <c r="MR21" i="1"/>
  <c r="MS21" i="1"/>
  <c r="MN22" i="1"/>
  <c r="MP22" i="1"/>
  <c r="MQ22" i="1"/>
  <c r="MR22" i="1"/>
  <c r="MS22" i="1"/>
  <c r="MN23" i="1"/>
  <c r="MP23" i="1"/>
  <c r="MQ23" i="1"/>
  <c r="MR23" i="1"/>
  <c r="MS23" i="1"/>
  <c r="MN24" i="1"/>
  <c r="MP24" i="1"/>
  <c r="MQ24" i="1"/>
  <c r="MR24" i="1"/>
  <c r="MS24" i="1"/>
  <c r="MN25" i="1"/>
  <c r="MP25" i="1"/>
  <c r="MQ25" i="1"/>
  <c r="MR25" i="1"/>
  <c r="MS25" i="1"/>
  <c r="MN26" i="1"/>
  <c r="MP26" i="1"/>
  <c r="MQ26" i="1"/>
  <c r="MR26" i="1"/>
  <c r="MS26" i="1"/>
  <c r="MN27" i="1"/>
  <c r="MP27" i="1"/>
  <c r="MQ27" i="1"/>
  <c r="MR27" i="1"/>
  <c r="MS27" i="1"/>
  <c r="MN28" i="1"/>
  <c r="MP28" i="1"/>
  <c r="MQ28" i="1"/>
  <c r="MR28" i="1"/>
  <c r="MS28" i="1"/>
  <c r="MN29" i="1"/>
  <c r="MP29" i="1"/>
  <c r="MQ29" i="1"/>
  <c r="MR29" i="1"/>
  <c r="MS29" i="1"/>
  <c r="MN30" i="1"/>
  <c r="MP30" i="1"/>
  <c r="MQ30" i="1"/>
  <c r="MR30" i="1"/>
  <c r="MS30" i="1"/>
  <c r="MS2" i="1"/>
  <c r="MR2" i="1"/>
  <c r="MQ2" i="1"/>
  <c r="MP2" i="1"/>
  <c r="MN2" i="1"/>
  <c r="MT3" i="1"/>
  <c r="MU3" i="1"/>
  <c r="MT4" i="1"/>
  <c r="MU4" i="1"/>
  <c r="MU5" i="1"/>
  <c r="MT6" i="1"/>
  <c r="MU6" i="1"/>
  <c r="MU7" i="1"/>
  <c r="MT8" i="1"/>
  <c r="MU8" i="1"/>
  <c r="MT9" i="1"/>
  <c r="MU9" i="1"/>
  <c r="MT10" i="1"/>
  <c r="MU10" i="1"/>
  <c r="MT11" i="1"/>
  <c r="MU11" i="1"/>
  <c r="MT12" i="1"/>
  <c r="MU12" i="1"/>
  <c r="MT13" i="1"/>
  <c r="MU13" i="1"/>
  <c r="MT14" i="1"/>
  <c r="MU14" i="1"/>
  <c r="MT15" i="1"/>
  <c r="MU15" i="1"/>
  <c r="MT16" i="1"/>
  <c r="MU16" i="1"/>
  <c r="MT17" i="1"/>
  <c r="MU17" i="1"/>
  <c r="MT18" i="1"/>
  <c r="MU18" i="1"/>
  <c r="MT19" i="1"/>
  <c r="MU19" i="1"/>
  <c r="MT20" i="1"/>
  <c r="MU20" i="1"/>
  <c r="MT21" i="1"/>
  <c r="MU21" i="1"/>
  <c r="MT22" i="1"/>
  <c r="MU22" i="1"/>
  <c r="MT23" i="1"/>
  <c r="MU23" i="1"/>
  <c r="MT24" i="1"/>
  <c r="MU24" i="1"/>
  <c r="MT25" i="1"/>
  <c r="MU25" i="1"/>
  <c r="MT26" i="1"/>
  <c r="MU26" i="1"/>
  <c r="MT27" i="1"/>
  <c r="MU27" i="1"/>
  <c r="MT28" i="1"/>
  <c r="MU28" i="1"/>
  <c r="MT29" i="1"/>
  <c r="MU29" i="1"/>
  <c r="MT30" i="1"/>
  <c r="MU30" i="1"/>
  <c r="MT31" i="1"/>
  <c r="MU31" i="1"/>
  <c r="MT32" i="1"/>
  <c r="MU32" i="1"/>
  <c r="MT33" i="1"/>
  <c r="MU33" i="1"/>
  <c r="MT34" i="1"/>
  <c r="MU34" i="1"/>
  <c r="MT36" i="1"/>
  <c r="MU36" i="1"/>
  <c r="MT37" i="1"/>
  <c r="MU37" i="1"/>
  <c r="MT38" i="1"/>
  <c r="MU38" i="1"/>
  <c r="MT39" i="1"/>
  <c r="MU39" i="1"/>
  <c r="MT42" i="1"/>
  <c r="MU42" i="1"/>
  <c r="MT43" i="1"/>
  <c r="MU43" i="1"/>
  <c r="MT44" i="1"/>
  <c r="MU44" i="1"/>
  <c r="MT45" i="1"/>
  <c r="MU45" i="1"/>
  <c r="MT46" i="1"/>
  <c r="MU46" i="1"/>
  <c r="MT47" i="1"/>
  <c r="MU47" i="1"/>
  <c r="MT48" i="1"/>
  <c r="MU48" i="1"/>
  <c r="MT49" i="1"/>
  <c r="MU49" i="1"/>
  <c r="MT50" i="1"/>
  <c r="MU50" i="1"/>
  <c r="MT51" i="1"/>
  <c r="MU51" i="1"/>
  <c r="MT52" i="1"/>
  <c r="MU52" i="1"/>
  <c r="MT53" i="1"/>
  <c r="MU53" i="1"/>
  <c r="MT54" i="1"/>
  <c r="MU54" i="1"/>
  <c r="MT56" i="1"/>
  <c r="MU56" i="1"/>
  <c r="MT57" i="1"/>
  <c r="MU57" i="1"/>
  <c r="MT58" i="1"/>
  <c r="MU58" i="1"/>
  <c r="MT59" i="1"/>
  <c r="MU59" i="1"/>
  <c r="MT60" i="1"/>
  <c r="MU60" i="1"/>
  <c r="MT61" i="1"/>
  <c r="MU61" i="1"/>
  <c r="MT62" i="1"/>
  <c r="MU62" i="1"/>
  <c r="MT63" i="1"/>
  <c r="MU63" i="1"/>
  <c r="MT64" i="1"/>
  <c r="MU64" i="1"/>
  <c r="MU2" i="1"/>
  <c r="MT2" i="1"/>
  <c r="MU40" i="1" l="1"/>
  <c r="MT40" i="1"/>
  <c r="MU41" i="1"/>
  <c r="MU35" i="1"/>
  <c r="MT41" i="1"/>
  <c r="MT35" i="1"/>
  <c r="MO3" i="1" l="1"/>
  <c r="MO4" i="1"/>
  <c r="MO5" i="1"/>
  <c r="MO6" i="1"/>
  <c r="MO7" i="1"/>
  <c r="MO8" i="1"/>
  <c r="MO9" i="1"/>
  <c r="MO10" i="1"/>
  <c r="MO11" i="1"/>
  <c r="MO12" i="1"/>
  <c r="MO13" i="1"/>
  <c r="MO14" i="1"/>
  <c r="MO15" i="1"/>
  <c r="MO16" i="1"/>
  <c r="MO17" i="1"/>
  <c r="MO18" i="1"/>
  <c r="MO19" i="1"/>
  <c r="MO20" i="1"/>
  <c r="MO21" i="1"/>
  <c r="MO22" i="1"/>
  <c r="MO23" i="1"/>
  <c r="MO24" i="1"/>
  <c r="MO25" i="1"/>
  <c r="MO26" i="1"/>
  <c r="MO27" i="1"/>
  <c r="MO28" i="1"/>
  <c r="MO29" i="1"/>
  <c r="MO30" i="1"/>
  <c r="MO31" i="1"/>
  <c r="MO32" i="1"/>
  <c r="MO33" i="1"/>
  <c r="MO34" i="1"/>
  <c r="MO37" i="1"/>
  <c r="MO38" i="1"/>
  <c r="MO42" i="1"/>
  <c r="MO43" i="1"/>
  <c r="MO44" i="1"/>
  <c r="MO45" i="1"/>
  <c r="MO46" i="1"/>
  <c r="MO47" i="1"/>
  <c r="MO48" i="1"/>
  <c r="MO49" i="1"/>
  <c r="MO50" i="1"/>
  <c r="MO51" i="1"/>
  <c r="MO52" i="1"/>
  <c r="MO53" i="1"/>
  <c r="MO54" i="1"/>
  <c r="MO56" i="1"/>
  <c r="MO57" i="1"/>
  <c r="MO58" i="1"/>
  <c r="MO59" i="1"/>
  <c r="MO60" i="1"/>
  <c r="MO61" i="1"/>
  <c r="MO62" i="1"/>
  <c r="MO63" i="1"/>
  <c r="MO64" i="1"/>
  <c r="MO2" i="1"/>
  <c r="MO35" i="1" l="1"/>
  <c r="MO36" i="1"/>
  <c r="MO39" i="1"/>
  <c r="MO41" i="1"/>
  <c r="MO40" i="1"/>
</calcChain>
</file>

<file path=xl/sharedStrings.xml><?xml version="1.0" encoding="utf-8"?>
<sst xmlns="http://schemas.openxmlformats.org/spreadsheetml/2006/main" count="980" uniqueCount="218">
  <si>
    <t>New</t>
  </si>
  <si>
    <t>HP-1</t>
  </si>
  <si>
    <t>Alluvium</t>
  </si>
  <si>
    <t>Kapileswarapuram</t>
  </si>
  <si>
    <t>MPP School</t>
  </si>
  <si>
    <t>HP-2</t>
  </si>
  <si>
    <t>Old</t>
  </si>
  <si>
    <t>AL</t>
  </si>
  <si>
    <t>Incp</t>
  </si>
  <si>
    <t>NHP</t>
  </si>
  <si>
    <t>SNo</t>
  </si>
  <si>
    <t>ID</t>
  </si>
  <si>
    <t>District</t>
  </si>
  <si>
    <t>Mandal Name</t>
  </si>
  <si>
    <t>Village Name</t>
  </si>
  <si>
    <t>Location
(Premises)</t>
  </si>
  <si>
    <t>Project</t>
  </si>
  <si>
    <t>Total 
Depth 
in m</t>
  </si>
  <si>
    <t>Principal Aquifer</t>
  </si>
  <si>
    <t>MSL in meters</t>
  </si>
  <si>
    <t>Krishna</t>
  </si>
  <si>
    <t>Avanigadda</t>
  </si>
  <si>
    <t>Girls high school</t>
  </si>
  <si>
    <t>4..31</t>
  </si>
  <si>
    <t>Gudiwada</t>
  </si>
  <si>
    <t>ANR college</t>
  </si>
  <si>
    <t>Kankipadu</t>
  </si>
  <si>
    <t>Edupugallu</t>
  </si>
  <si>
    <t>ZPHS</t>
  </si>
  <si>
    <t>Koduru</t>
  </si>
  <si>
    <t>Panchayat office</t>
  </si>
  <si>
    <t>Mopidevi</t>
  </si>
  <si>
    <t>Venkatapuram</t>
  </si>
  <si>
    <t>Movva</t>
  </si>
  <si>
    <t>Kuchipudi</t>
  </si>
  <si>
    <t>Kalashetram</t>
  </si>
  <si>
    <t>Nandiwada</t>
  </si>
  <si>
    <t>Aripirala</t>
  </si>
  <si>
    <t>MPP school</t>
  </si>
  <si>
    <t>Pamarru</t>
  </si>
  <si>
    <t>Market yard</t>
  </si>
  <si>
    <t>Pamidimukkala</t>
  </si>
  <si>
    <t>Penamaluru</t>
  </si>
  <si>
    <t>Vanukuru</t>
  </si>
  <si>
    <t>Unguturu</t>
  </si>
  <si>
    <t>Nandamuru</t>
  </si>
  <si>
    <t>33/11 KV sub station</t>
  </si>
  <si>
    <t>Vuyyuru</t>
  </si>
  <si>
    <t>Gandigunta-1</t>
  </si>
  <si>
    <t>HM station</t>
  </si>
  <si>
    <t>Gandigunta-2</t>
  </si>
  <si>
    <t>Gandigunta-3</t>
  </si>
  <si>
    <t>Bapulapadu</t>
  </si>
  <si>
    <t>Ramannagudem</t>
  </si>
  <si>
    <t>Singannagudem</t>
  </si>
  <si>
    <t>Sandstone</t>
  </si>
  <si>
    <t>Veeravalli</t>
  </si>
  <si>
    <t>Challapalli</t>
  </si>
  <si>
    <t>Gannavaram</t>
  </si>
  <si>
    <t>Surampalli</t>
  </si>
  <si>
    <t>Small scale industry</t>
  </si>
  <si>
    <t>Khondalite</t>
  </si>
  <si>
    <t>Veerapanenigudem</t>
  </si>
  <si>
    <t>Ghantasala</t>
  </si>
  <si>
    <t>Billapadu</t>
  </si>
  <si>
    <t>Guduru</t>
  </si>
  <si>
    <t>Kruthivennu</t>
  </si>
  <si>
    <t>33/11 KV substation</t>
  </si>
  <si>
    <t>Machilipatnam</t>
  </si>
  <si>
    <t>Nidumolu</t>
  </si>
  <si>
    <t>Nagayalanka</t>
  </si>
  <si>
    <t>Pedaparupudi</t>
  </si>
  <si>
    <t>Ventrapragada</t>
  </si>
  <si>
    <t>Yelamarru</t>
  </si>
  <si>
    <t>Kanuru</t>
  </si>
  <si>
    <t>Thotlavalluru</t>
  </si>
  <si>
    <t>Telaprolu</t>
  </si>
  <si>
    <t>Ganapeswaram</t>
  </si>
  <si>
    <t>Madicherla</t>
  </si>
  <si>
    <t>33/11 KV Sub station</t>
  </si>
  <si>
    <t>Veduru pavuluru</t>
  </si>
  <si>
    <t>KH</t>
  </si>
  <si>
    <t>Pittallanka-I</t>
  </si>
  <si>
    <t>Village water tank premises</t>
  </si>
  <si>
    <t>Pittallanka-II</t>
  </si>
  <si>
    <t>Bantumilli</t>
  </si>
  <si>
    <t>Bobbaralanka</t>
  </si>
  <si>
    <t>Mangenapudi Beach</t>
  </si>
  <si>
    <t>Mukkollu</t>
  </si>
  <si>
    <t>Pedana</t>
  </si>
  <si>
    <t>Penumalli</t>
  </si>
  <si>
    <t xml:space="preserve"> ZPHS</t>
  </si>
  <si>
    <t>Ramachandra puram</t>
  </si>
  <si>
    <t>Dosapadu-I</t>
  </si>
  <si>
    <t>Dosapadu-II</t>
  </si>
  <si>
    <t>Meduru-I</t>
  </si>
  <si>
    <t>Meduru-II</t>
  </si>
  <si>
    <t xml:space="preserve">Munjuluru </t>
  </si>
  <si>
    <t>OTHERS</t>
  </si>
  <si>
    <t>Nadakuduru</t>
  </si>
  <si>
    <t>NadakuduruStallin</t>
  </si>
  <si>
    <t>Former's Land</t>
  </si>
  <si>
    <t>Yarlagadda</t>
  </si>
  <si>
    <t>Venugopalaswamy Temple</t>
  </si>
  <si>
    <t>Srikakulam</t>
  </si>
  <si>
    <t>Irrigation Iguest House</t>
  </si>
  <si>
    <t>Gudlavalleru</t>
  </si>
  <si>
    <t>Kowtavaram</t>
  </si>
  <si>
    <t>Pamarru-1</t>
  </si>
  <si>
    <t>Pamarru-2</t>
  </si>
  <si>
    <t>Pamarru-3</t>
  </si>
  <si>
    <t>KRI1</t>
  </si>
  <si>
    <t>Munjuluru</t>
  </si>
  <si>
    <t>KRI2</t>
  </si>
  <si>
    <t>KRI3</t>
  </si>
  <si>
    <t>Buddavaram</t>
  </si>
  <si>
    <t>N.T.R</t>
  </si>
  <si>
    <t>A.Konduru</t>
  </si>
  <si>
    <t>Kambhampadu</t>
  </si>
  <si>
    <t>Banded Gneisses</t>
  </si>
  <si>
    <t>Chandarlapadu</t>
  </si>
  <si>
    <t>G.Konduru</t>
  </si>
  <si>
    <t>Gangineni</t>
  </si>
  <si>
    <t>Veternary hospital</t>
  </si>
  <si>
    <t>Charnockite</t>
  </si>
  <si>
    <t>Gampalagudem</t>
  </si>
  <si>
    <t>MRO office</t>
  </si>
  <si>
    <t>Jaggayyapeta</t>
  </si>
  <si>
    <t>Budawada</t>
  </si>
  <si>
    <t>Limestone</t>
  </si>
  <si>
    <t>Kanchikacherla</t>
  </si>
  <si>
    <t>Ibrahimpatnam</t>
  </si>
  <si>
    <t>Kondapalli</t>
  </si>
  <si>
    <t>ZPHS girls high school</t>
  </si>
  <si>
    <t>Tiruvuru</t>
  </si>
  <si>
    <t>Laxmipuram</t>
  </si>
  <si>
    <t>Mylavaram</t>
  </si>
  <si>
    <t>MDO Office</t>
  </si>
  <si>
    <t>Nandigama</t>
  </si>
  <si>
    <t>Nemali</t>
  </si>
  <si>
    <t>Panchayat raj guest house</t>
  </si>
  <si>
    <t>Penuganchiprolu</t>
  </si>
  <si>
    <t>Pulluru</t>
  </si>
  <si>
    <t>Vissannapeta</t>
  </si>
  <si>
    <t>Putrela</t>
  </si>
  <si>
    <t>Tatakuntla</t>
  </si>
  <si>
    <t>Vatsavai</t>
  </si>
  <si>
    <t>Cooperative Society</t>
  </si>
  <si>
    <t>Veerullapadu</t>
  </si>
  <si>
    <t>Velagaleru</t>
  </si>
  <si>
    <t>Vijayawada(U)</t>
  </si>
  <si>
    <t>AJS Nagar</t>
  </si>
  <si>
    <t>Vijayawada</t>
  </si>
  <si>
    <t>Sub collector office</t>
  </si>
  <si>
    <t>Akkapalem</t>
  </si>
  <si>
    <t>Alluru</t>
  </si>
  <si>
    <t>Bandipalem</t>
  </si>
  <si>
    <t>MPUP</t>
  </si>
  <si>
    <t>Chandrala</t>
  </si>
  <si>
    <t>Chintalapadu</t>
  </si>
  <si>
    <t>Vijayawada(R)</t>
  </si>
  <si>
    <t>Enikepadu</t>
  </si>
  <si>
    <t>Gandrai</t>
  </si>
  <si>
    <t>Gollapudi</t>
  </si>
  <si>
    <t>DWMA office</t>
  </si>
  <si>
    <t>Gosaveedu</t>
  </si>
  <si>
    <t>Gudavalli</t>
  </si>
  <si>
    <t>Chillakallu</t>
  </si>
  <si>
    <t>Jonnalagadda</t>
  </si>
  <si>
    <t>Kachavaram</t>
  </si>
  <si>
    <t>Lakshmipuram</t>
  </si>
  <si>
    <t>Munagalapalli</t>
  </si>
  <si>
    <t>Nawabpeta</t>
  </si>
  <si>
    <t>Polampalli</t>
  </si>
  <si>
    <t>Reddigudem</t>
  </si>
  <si>
    <t>Rangapuram</t>
  </si>
  <si>
    <t>Rolupadi</t>
  </si>
  <si>
    <t>Rudravaram</t>
  </si>
  <si>
    <t>Takkellapadu</t>
  </si>
  <si>
    <t>Talluru</t>
  </si>
  <si>
    <t>Tunikipadu</t>
  </si>
  <si>
    <t>Vellanki</t>
  </si>
  <si>
    <t>Vemireddypalli</t>
  </si>
  <si>
    <t>Vinagadapa</t>
  </si>
  <si>
    <t>Yerramadu</t>
  </si>
  <si>
    <t>Patamatalanka</t>
  </si>
  <si>
    <t>SW Residential girls school</t>
  </si>
  <si>
    <t>WRD Center</t>
  </si>
  <si>
    <t>Kuntamukkala</t>
  </si>
  <si>
    <t>Girls residential School</t>
  </si>
  <si>
    <t>Vallampatla</t>
  </si>
  <si>
    <t>Cheemalapadu</t>
  </si>
  <si>
    <t>Kotta Repudi</t>
  </si>
  <si>
    <t>Kasarabada</t>
  </si>
  <si>
    <t>Veladi Kothapalem</t>
  </si>
  <si>
    <t>Munagapadu</t>
  </si>
  <si>
    <t>Utukuru</t>
  </si>
  <si>
    <t>Jupudi</t>
  </si>
  <si>
    <t>K. Agraharam</t>
  </si>
  <si>
    <t>SM peta</t>
  </si>
  <si>
    <t>Paritala</t>
  </si>
  <si>
    <t>Pendyala</t>
  </si>
  <si>
    <t>Anigallapadu</t>
  </si>
  <si>
    <t>Maddulaparva</t>
  </si>
  <si>
    <t>Girls residential college</t>
  </si>
  <si>
    <t>Vavilala</t>
  </si>
  <si>
    <t>Kanneveedu</t>
  </si>
  <si>
    <t>Ponnavaram</t>
  </si>
  <si>
    <t>Nunna</t>
  </si>
  <si>
    <t>HP-I</t>
  </si>
  <si>
    <t>HP-II</t>
  </si>
  <si>
    <t>PZ_RD</t>
  </si>
  <si>
    <t>APZ</t>
  </si>
  <si>
    <t>HP-III</t>
  </si>
  <si>
    <t>Data not collected due to lock down in the Country</t>
  </si>
  <si>
    <t>Latitude 
(Decimal Degrees)</t>
  </si>
  <si>
    <t>Longitude 
(Decimal Degrees)</t>
  </si>
  <si>
    <t>Strata Order (Top to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</si>
</sst>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0.0000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</cellStyleXfs>
  <cellXfs count="4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" fontId="1" fillId="0" borderId="1" xfId="0" applyNumberFormat="1" applyFont="1" applyBorder="1" applyAlignment="1">
      <alignment vertical="center"/>
    </xf>
    <xf numFmtId="17" fontId="1" fillId="0" borderId="2" xfId="0" applyNumberFormat="1" applyFont="1" applyBorder="1" applyAlignment="1">
      <alignment vertical="center"/>
    </xf>
    <xf numFmtId="0" fontId="1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 shrinkToFit="1"/>
    </xf>
    <xf numFmtId="2" fontId="6" fillId="0" borderId="1" xfId="1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shrinkToFit="1"/>
    </xf>
    <xf numFmtId="2" fontId="6" fillId="0" borderId="1" xfId="1" applyNumberFormat="1" applyFont="1" applyBorder="1" applyAlignment="1">
      <alignment horizontal="left" vertical="center"/>
    </xf>
    <xf numFmtId="165" fontId="6" fillId="0" borderId="1" xfId="3" applyNumberFormat="1" applyFont="1" applyBorder="1" applyAlignment="1">
      <alignment horizontal="left" vertical="center" shrinkToFit="1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4" applyNumberFormat="1" applyFont="1" applyBorder="1" applyAlignment="1">
      <alignment horizontal="center" vertical="center"/>
    </xf>
    <xf numFmtId="2" fontId="6" fillId="0" borderId="1" xfId="5" applyNumberFormat="1" applyFont="1" applyBorder="1" applyAlignment="1">
      <alignment horizontal="center" vertical="center"/>
    </xf>
    <xf numFmtId="2" fontId="6" fillId="0" borderId="1" xfId="6" applyNumberFormat="1" applyFont="1" applyBorder="1" applyAlignment="1">
      <alignment horizontal="center" vertical="center"/>
    </xf>
    <xf numFmtId="2" fontId="6" fillId="0" borderId="1" xfId="7" applyNumberFormat="1" applyFont="1" applyBorder="1" applyAlignment="1">
      <alignment horizontal="center" vertical="center"/>
    </xf>
    <xf numFmtId="2" fontId="6" fillId="0" borderId="1" xfId="8" applyNumberFormat="1" applyFont="1" applyBorder="1" applyAlignment="1">
      <alignment horizontal="center" vertical="center"/>
    </xf>
    <xf numFmtId="2" fontId="6" fillId="0" borderId="1" xfId="9" applyNumberFormat="1" applyFont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0" xfId="0" applyFont="1"/>
    <xf numFmtId="2" fontId="6" fillId="0" borderId="1" xfId="0" applyNumberFormat="1" applyFont="1" applyBorder="1" applyAlignment="1">
      <alignment horizontal="left" vertical="center"/>
    </xf>
    <xf numFmtId="2" fontId="6" fillId="0" borderId="1" xfId="10" applyNumberFormat="1" applyFont="1" applyBorder="1" applyAlignment="1">
      <alignment horizontal="center" vertical="center"/>
    </xf>
    <xf numFmtId="2" fontId="6" fillId="0" borderId="1" xfId="0" applyNumberFormat="1" applyFont="1" applyBorder="1"/>
    <xf numFmtId="0" fontId="5" fillId="0" borderId="1" xfId="0" applyFont="1" applyBorder="1"/>
    <xf numFmtId="0" fontId="6" fillId="0" borderId="1" xfId="10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 shrinkToFit="1"/>
    </xf>
    <xf numFmtId="165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5" fillId="0" borderId="1" xfId="0" applyNumberFormat="1" applyFont="1" applyBorder="1"/>
    <xf numFmtId="0" fontId="7" fillId="0" borderId="1" xfId="0" applyFont="1" applyBorder="1"/>
    <xf numFmtId="166" fontId="7" fillId="0" borderId="1" xfId="0" applyNumberFormat="1" applyFont="1" applyBorder="1"/>
    <xf numFmtId="167" fontId="6" fillId="0" borderId="1" xfId="1" applyNumberFormat="1" applyFont="1" applyBorder="1" applyAlignment="1">
      <alignment horizontal="center" vertical="center"/>
    </xf>
  </cellXfs>
  <cellStyles count="12">
    <cellStyle name="Normal" xfId="0" builtinId="0"/>
    <cellStyle name="Normal 11" xfId="2" xr:uid="{D5681942-391E-4FDC-A99E-40420BD3420E}"/>
    <cellStyle name="Normal 11 2" xfId="8" xr:uid="{429B8047-4679-4DB1-9F4E-FFAF92380656}"/>
    <cellStyle name="Normal 11 4" xfId="9" xr:uid="{8440149F-FE12-4BDF-A27B-0DF80098DAA9}"/>
    <cellStyle name="Normal 12 2" xfId="4" xr:uid="{C15A0081-CCA6-4570-A1FB-3F89FF056DD8}"/>
    <cellStyle name="Normal 13 3" xfId="6" xr:uid="{E99B7626-8EE7-4E01-A078-367969A6FCD9}"/>
    <cellStyle name="Normal 13 5" xfId="7" xr:uid="{B8896864-D115-4AE5-B871-5360015D2C9C}"/>
    <cellStyle name="Normal 13 6" xfId="5" xr:uid="{20223FAC-86F9-4820-9C88-1CA71CE2B58A}"/>
    <cellStyle name="Normal 2" xfId="11" xr:uid="{A6663FD1-EFCF-408D-BC95-19B4151EAB43}"/>
    <cellStyle name="Normal 4" xfId="3" xr:uid="{6FB2A8BA-0420-4EF0-9F1B-4F1B398A141D}"/>
    <cellStyle name="Normal_Sheet1" xfId="1" xr:uid="{67CC947E-8501-44D9-971C-692B0EA2A7D3}"/>
    <cellStyle name="Normal_Sheet2" xfId="10" xr:uid="{0E8C1ED3-02E6-44B0-8165-23C99E263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GWD_APTS\NTR%20Data\New%20Microsoft%20Excel%20Worksheet.xlsx" TargetMode="External"/><Relationship Id="rId1" Type="http://schemas.openxmlformats.org/officeDocument/2006/relationships/externalLinkPath" Target="New%20Microsoft%20Exce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F1" t="str">
            <v>March</v>
          </cell>
          <cell r="G1" t="str">
            <v>April</v>
          </cell>
          <cell r="H1" t="str">
            <v>May</v>
          </cell>
          <cell r="I1" t="str">
            <v>June</v>
          </cell>
          <cell r="J1" t="str">
            <v>July</v>
          </cell>
          <cell r="K1" t="str">
            <v>Aug</v>
          </cell>
          <cell r="L1" t="str">
            <v>Sept</v>
          </cell>
          <cell r="M1" t="str">
            <v>Oct</v>
          </cell>
          <cell r="N1" t="str">
            <v>Nov</v>
          </cell>
        </row>
        <row r="2">
          <cell r="A2">
            <v>10207</v>
          </cell>
          <cell r="B2" t="str">
            <v>Krishna</v>
          </cell>
          <cell r="C2" t="str">
            <v>Avanigadda</v>
          </cell>
          <cell r="D2" t="str">
            <v>Avanigadda</v>
          </cell>
          <cell r="E2" t="str">
            <v>Girls high school</v>
          </cell>
          <cell r="G2">
            <v>5.22</v>
          </cell>
          <cell r="H2">
            <v>4.55</v>
          </cell>
          <cell r="I2">
            <v>4.71</v>
          </cell>
          <cell r="J2">
            <v>4.9899999999999993</v>
          </cell>
          <cell r="K2">
            <v>3.56</v>
          </cell>
          <cell r="L2">
            <v>3.49</v>
          </cell>
          <cell r="M2">
            <v>2.58</v>
          </cell>
          <cell r="N2">
            <v>3.04</v>
          </cell>
        </row>
        <row r="3">
          <cell r="A3">
            <v>10208</v>
          </cell>
          <cell r="B3" t="str">
            <v>Krishna</v>
          </cell>
          <cell r="C3" t="str">
            <v>Gudiwada</v>
          </cell>
          <cell r="D3" t="str">
            <v>Gudiwada</v>
          </cell>
          <cell r="E3" t="str">
            <v>ANR college</v>
          </cell>
          <cell r="G3">
            <v>5.64</v>
          </cell>
          <cell r="H3">
            <v>5.9600000000000009</v>
          </cell>
          <cell r="I3">
            <v>6.15</v>
          </cell>
          <cell r="J3">
            <v>6.42</v>
          </cell>
          <cell r="K3">
            <v>5.7200000000000006</v>
          </cell>
          <cell r="L3">
            <v>4.9800000000000004</v>
          </cell>
          <cell r="M3">
            <v>3.65</v>
          </cell>
          <cell r="N3">
            <v>3.64</v>
          </cell>
        </row>
        <row r="4">
          <cell r="A4">
            <v>10209</v>
          </cell>
          <cell r="B4" t="str">
            <v>Krishna</v>
          </cell>
          <cell r="C4" t="str">
            <v>Kankipadu</v>
          </cell>
          <cell r="D4" t="str">
            <v>Edupugallu</v>
          </cell>
          <cell r="E4" t="str">
            <v>ZPHS</v>
          </cell>
          <cell r="G4">
            <v>16.260000000000002</v>
          </cell>
          <cell r="H4">
            <v>15.6</v>
          </cell>
          <cell r="I4">
            <v>15.9</v>
          </cell>
          <cell r="J4">
            <v>16.110000000000003</v>
          </cell>
          <cell r="K4">
            <v>15.53</v>
          </cell>
          <cell r="L4">
            <v>15.42</v>
          </cell>
          <cell r="M4">
            <v>15.31</v>
          </cell>
          <cell r="N4">
            <v>13.81</v>
          </cell>
        </row>
        <row r="5">
          <cell r="A5">
            <v>10210</v>
          </cell>
          <cell r="B5" t="str">
            <v>Krishna</v>
          </cell>
          <cell r="C5" t="str">
            <v>Koduru</v>
          </cell>
          <cell r="D5" t="str">
            <v>Koduru</v>
          </cell>
          <cell r="E5" t="str">
            <v>Panchayat office</v>
          </cell>
          <cell r="G5">
            <v>1.53</v>
          </cell>
          <cell r="H5">
            <v>1.1499999999999999</v>
          </cell>
          <cell r="I5">
            <v>0.89</v>
          </cell>
          <cell r="J5">
            <v>1.3199999999999998</v>
          </cell>
          <cell r="K5">
            <v>1.1200000000000001</v>
          </cell>
          <cell r="L5">
            <v>0.08</v>
          </cell>
          <cell r="N5">
            <v>0.42000000000000004</v>
          </cell>
        </row>
        <row r="6">
          <cell r="A6">
            <v>10211</v>
          </cell>
          <cell r="B6" t="str">
            <v>Krishna</v>
          </cell>
          <cell r="C6" t="str">
            <v>Mopidevi</v>
          </cell>
          <cell r="D6" t="str">
            <v>Venkatapuram</v>
          </cell>
          <cell r="E6" t="str">
            <v>Panchayat office</v>
          </cell>
          <cell r="G6">
            <v>2.0099999999999998</v>
          </cell>
          <cell r="H6">
            <v>0.56999999999999995</v>
          </cell>
          <cell r="I6">
            <v>2.02</v>
          </cell>
          <cell r="J6">
            <v>2.6</v>
          </cell>
          <cell r="K6">
            <v>0.39</v>
          </cell>
          <cell r="L6">
            <v>0.3</v>
          </cell>
          <cell r="M6">
            <v>0.18</v>
          </cell>
          <cell r="N6">
            <v>0.67</v>
          </cell>
        </row>
        <row r="7">
          <cell r="A7">
            <v>10212</v>
          </cell>
          <cell r="B7" t="str">
            <v>Krishna</v>
          </cell>
          <cell r="C7" t="str">
            <v>Movva</v>
          </cell>
          <cell r="D7" t="str">
            <v>Kuchipudi</v>
          </cell>
          <cell r="E7" t="str">
            <v>Kalashetram</v>
          </cell>
          <cell r="G7">
            <v>3.97</v>
          </cell>
          <cell r="H7">
            <v>1.5299999999999998</v>
          </cell>
          <cell r="I7">
            <v>3.25</v>
          </cell>
          <cell r="N7">
            <v>1.58</v>
          </cell>
        </row>
        <row r="8">
          <cell r="A8">
            <v>10213</v>
          </cell>
          <cell r="B8" t="str">
            <v>Krishna</v>
          </cell>
          <cell r="C8" t="str">
            <v>Nandiwada</v>
          </cell>
          <cell r="D8" t="str">
            <v>Aripirala</v>
          </cell>
          <cell r="E8" t="str">
            <v>MPP school</v>
          </cell>
          <cell r="G8">
            <v>17.149999999999999</v>
          </cell>
          <cell r="H8">
            <v>17.189999999999998</v>
          </cell>
          <cell r="I8">
            <v>18.600000000000001</v>
          </cell>
          <cell r="J8">
            <v>18.849999999999998</v>
          </cell>
          <cell r="K8">
            <v>17.2</v>
          </cell>
          <cell r="L8">
            <v>16.89</v>
          </cell>
          <cell r="M8">
            <v>14.6</v>
          </cell>
          <cell r="N8">
            <v>15.120000000000001</v>
          </cell>
        </row>
        <row r="9">
          <cell r="A9">
            <v>10214</v>
          </cell>
          <cell r="B9" t="str">
            <v>Krishna</v>
          </cell>
          <cell r="C9" t="str">
            <v>Pamarru</v>
          </cell>
          <cell r="D9" t="str">
            <v>Pamarru</v>
          </cell>
          <cell r="E9" t="str">
            <v>Market yard</v>
          </cell>
          <cell r="G9">
            <v>15.19</v>
          </cell>
          <cell r="H9">
            <v>16.189999999999998</v>
          </cell>
          <cell r="I9">
            <v>14.37</v>
          </cell>
          <cell r="J9">
            <v>16.779999999999998</v>
          </cell>
          <cell r="K9">
            <v>16.509999999999998</v>
          </cell>
          <cell r="L9">
            <v>14.69</v>
          </cell>
          <cell r="M9">
            <v>16.22</v>
          </cell>
          <cell r="N9">
            <v>16.41</v>
          </cell>
        </row>
        <row r="10">
          <cell r="A10">
            <v>10215</v>
          </cell>
          <cell r="B10" t="str">
            <v>Krishna</v>
          </cell>
          <cell r="C10" t="str">
            <v>Pamidimukkala</v>
          </cell>
          <cell r="D10" t="str">
            <v>Kapileswarapuram</v>
          </cell>
          <cell r="E10" t="str">
            <v>ZPHS</v>
          </cell>
          <cell r="G10">
            <v>3.61</v>
          </cell>
          <cell r="H10">
            <v>4.5</v>
          </cell>
          <cell r="I10">
            <v>3.67</v>
          </cell>
          <cell r="J10">
            <v>4.5599999999999996</v>
          </cell>
          <cell r="K10">
            <v>2.5499999999999998</v>
          </cell>
          <cell r="L10">
            <v>1.1200000000000001</v>
          </cell>
          <cell r="M10">
            <v>0.7</v>
          </cell>
          <cell r="N10">
            <v>1.18</v>
          </cell>
        </row>
        <row r="11">
          <cell r="A11">
            <v>10216</v>
          </cell>
          <cell r="B11" t="str">
            <v>Krishna</v>
          </cell>
          <cell r="C11" t="str">
            <v>Penamaluru</v>
          </cell>
          <cell r="D11" t="str">
            <v>Vanukuru</v>
          </cell>
          <cell r="E11" t="str">
            <v>Panchayat office</v>
          </cell>
          <cell r="G11">
            <v>15.19</v>
          </cell>
          <cell r="H11">
            <v>15.67</v>
          </cell>
          <cell r="I11">
            <v>14.97</v>
          </cell>
          <cell r="J11">
            <v>15.13</v>
          </cell>
          <cell r="K11">
            <v>14.32</v>
          </cell>
          <cell r="L11">
            <v>13.6</v>
          </cell>
          <cell r="M11">
            <v>13.49</v>
          </cell>
          <cell r="N11">
            <v>12.55</v>
          </cell>
        </row>
        <row r="12">
          <cell r="A12">
            <v>10217</v>
          </cell>
          <cell r="B12" t="str">
            <v>Krishna</v>
          </cell>
          <cell r="C12" t="str">
            <v>Unguturu</v>
          </cell>
          <cell r="D12" t="str">
            <v>Nandamuru</v>
          </cell>
          <cell r="E12" t="str">
            <v>33/11 KV sub station</v>
          </cell>
          <cell r="G12">
            <v>8.7200000000000006</v>
          </cell>
          <cell r="H12">
            <v>9.27</v>
          </cell>
          <cell r="I12">
            <v>9.35</v>
          </cell>
          <cell r="J12">
            <v>9.2000000000000011</v>
          </cell>
          <cell r="K12">
            <v>8.31</v>
          </cell>
          <cell r="L12">
            <v>8.2200000000000006</v>
          </cell>
          <cell r="M12">
            <v>8</v>
          </cell>
          <cell r="N12">
            <v>5.54</v>
          </cell>
        </row>
        <row r="13">
          <cell r="A13">
            <v>10218</v>
          </cell>
          <cell r="B13" t="str">
            <v>Krishna</v>
          </cell>
          <cell r="C13" t="str">
            <v>Vuyyuru</v>
          </cell>
          <cell r="D13" t="str">
            <v>Gandigunta-1</v>
          </cell>
          <cell r="E13" t="str">
            <v>HM station</v>
          </cell>
          <cell r="G13">
            <v>12.46</v>
          </cell>
          <cell r="H13">
            <v>17.739999999999998</v>
          </cell>
          <cell r="I13">
            <v>15.65</v>
          </cell>
          <cell r="J13">
            <v>15.06</v>
          </cell>
          <cell r="K13">
            <v>14.6</v>
          </cell>
          <cell r="L13">
            <v>12.65</v>
          </cell>
          <cell r="M13">
            <v>14.66</v>
          </cell>
          <cell r="N13">
            <v>10.74</v>
          </cell>
        </row>
        <row r="14">
          <cell r="A14">
            <v>10219</v>
          </cell>
          <cell r="B14" t="str">
            <v>Krishna</v>
          </cell>
          <cell r="C14" t="str">
            <v>Vuyyuru</v>
          </cell>
          <cell r="D14" t="str">
            <v>Gandigunta-2</v>
          </cell>
          <cell r="E14" t="str">
            <v>HM station</v>
          </cell>
          <cell r="G14">
            <v>12.49</v>
          </cell>
          <cell r="H14">
            <v>16.439999999999998</v>
          </cell>
          <cell r="I14">
            <v>14.23</v>
          </cell>
          <cell r="J14">
            <v>15.549999999999999</v>
          </cell>
          <cell r="K14">
            <v>14.53</v>
          </cell>
          <cell r="L14">
            <v>12.74</v>
          </cell>
          <cell r="M14">
            <v>14.15</v>
          </cell>
          <cell r="N14">
            <v>10.93</v>
          </cell>
        </row>
        <row r="15">
          <cell r="A15">
            <v>10220</v>
          </cell>
          <cell r="B15" t="str">
            <v>Krishna</v>
          </cell>
          <cell r="C15" t="str">
            <v>Vuyyuru</v>
          </cell>
          <cell r="D15" t="str">
            <v>Gandigunta-3</v>
          </cell>
          <cell r="E15" t="str">
            <v>HM station</v>
          </cell>
          <cell r="G15">
            <v>12.63</v>
          </cell>
          <cell r="H15">
            <v>17.72</v>
          </cell>
          <cell r="I15">
            <v>16.03</v>
          </cell>
          <cell r="J15">
            <v>14.96</v>
          </cell>
          <cell r="K15">
            <v>14.7</v>
          </cell>
          <cell r="L15">
            <v>12.83</v>
          </cell>
          <cell r="M15">
            <v>15.37</v>
          </cell>
          <cell r="N15">
            <v>11.28</v>
          </cell>
        </row>
        <row r="16">
          <cell r="A16">
            <v>20139</v>
          </cell>
          <cell r="B16" t="str">
            <v>Krishna</v>
          </cell>
          <cell r="C16" t="str">
            <v>Unguturu</v>
          </cell>
          <cell r="D16" t="str">
            <v>Unguturu</v>
          </cell>
          <cell r="E16" t="str">
            <v>33/11 KV sub station</v>
          </cell>
          <cell r="G16">
            <v>10.45</v>
          </cell>
          <cell r="H16">
            <v>14.84</v>
          </cell>
          <cell r="I16">
            <v>6.67</v>
          </cell>
          <cell r="J16">
            <v>19.790000000000003</v>
          </cell>
          <cell r="K16">
            <v>11.84</v>
          </cell>
          <cell r="L16">
            <v>11.67</v>
          </cell>
          <cell r="M16">
            <v>12.9</v>
          </cell>
          <cell r="N16">
            <v>9.74</v>
          </cell>
        </row>
        <row r="17">
          <cell r="A17">
            <v>20185</v>
          </cell>
          <cell r="B17" t="str">
            <v>Krishna</v>
          </cell>
          <cell r="C17" t="str">
            <v>Bapulapadu</v>
          </cell>
          <cell r="D17" t="str">
            <v>Ramannagudem</v>
          </cell>
          <cell r="E17" t="str">
            <v>ZPHS</v>
          </cell>
          <cell r="G17">
            <v>10.82</v>
          </cell>
          <cell r="H17">
            <v>8.27</v>
          </cell>
          <cell r="I17">
            <v>7.52</v>
          </cell>
          <cell r="J17">
            <v>7.34</v>
          </cell>
          <cell r="K17">
            <v>6.17</v>
          </cell>
          <cell r="L17">
            <v>6.1</v>
          </cell>
          <cell r="M17">
            <v>5.22</v>
          </cell>
          <cell r="N17">
            <v>5.2799999999999994</v>
          </cell>
        </row>
        <row r="18">
          <cell r="A18">
            <v>20186</v>
          </cell>
          <cell r="B18" t="str">
            <v>Krishna</v>
          </cell>
          <cell r="C18" t="str">
            <v>Bapulapadu</v>
          </cell>
          <cell r="D18" t="str">
            <v>Singannagudem</v>
          </cell>
          <cell r="E18" t="str">
            <v>MPP school</v>
          </cell>
          <cell r="G18">
            <v>13.84</v>
          </cell>
          <cell r="H18">
            <v>10.34</v>
          </cell>
          <cell r="I18">
            <v>12.94</v>
          </cell>
          <cell r="J18">
            <v>11.52</v>
          </cell>
          <cell r="K18">
            <v>7.8500000000000005</v>
          </cell>
          <cell r="L18">
            <v>4.2</v>
          </cell>
          <cell r="M18">
            <v>3.77</v>
          </cell>
          <cell r="N18">
            <v>3.8600000000000003</v>
          </cell>
        </row>
        <row r="19">
          <cell r="A19">
            <v>20187</v>
          </cell>
          <cell r="B19" t="str">
            <v>Krishna</v>
          </cell>
          <cell r="C19" t="str">
            <v>Bapulapadu</v>
          </cell>
          <cell r="D19" t="str">
            <v>Veeravalli</v>
          </cell>
          <cell r="E19" t="str">
            <v>ZPHS</v>
          </cell>
          <cell r="G19">
            <v>14.07</v>
          </cell>
          <cell r="H19">
            <v>12.73</v>
          </cell>
          <cell r="I19">
            <v>14.44</v>
          </cell>
          <cell r="J19">
            <v>13.469999999999999</v>
          </cell>
          <cell r="K19">
            <v>10.75</v>
          </cell>
          <cell r="L19">
            <v>7.13</v>
          </cell>
          <cell r="M19">
            <v>5.22</v>
          </cell>
          <cell r="N19">
            <v>4.1999999999999993</v>
          </cell>
        </row>
        <row r="20">
          <cell r="A20">
            <v>20188</v>
          </cell>
          <cell r="B20" t="str">
            <v>Krishna</v>
          </cell>
          <cell r="C20" t="str">
            <v>Challapalli</v>
          </cell>
          <cell r="D20" t="str">
            <v>Challapalli</v>
          </cell>
          <cell r="E20" t="str">
            <v>33/11 KV sub station</v>
          </cell>
          <cell r="G20">
            <v>3.82</v>
          </cell>
          <cell r="H20">
            <v>2.59</v>
          </cell>
          <cell r="I20">
            <v>3.25</v>
          </cell>
          <cell r="J20">
            <v>2.79</v>
          </cell>
          <cell r="K20">
            <v>2.0199999999999996</v>
          </cell>
          <cell r="L20">
            <v>1.99</v>
          </cell>
          <cell r="M20">
            <v>1.74</v>
          </cell>
          <cell r="N20">
            <v>2.04</v>
          </cell>
        </row>
        <row r="21">
          <cell r="A21">
            <v>20189</v>
          </cell>
          <cell r="B21" t="str">
            <v>Krishna</v>
          </cell>
          <cell r="C21" t="str">
            <v>Gannavaram</v>
          </cell>
          <cell r="D21" t="str">
            <v>Surampalli</v>
          </cell>
          <cell r="E21" t="str">
            <v>Small scale industry</v>
          </cell>
          <cell r="G21">
            <v>6.76</v>
          </cell>
          <cell r="H21">
            <v>3.4999999999999996</v>
          </cell>
          <cell r="I21">
            <v>4.58</v>
          </cell>
          <cell r="J21">
            <v>3.1599999999999997</v>
          </cell>
          <cell r="K21">
            <v>1.81</v>
          </cell>
          <cell r="L21">
            <v>1.18</v>
          </cell>
          <cell r="M21">
            <v>1.04</v>
          </cell>
          <cell r="N21">
            <v>1.48</v>
          </cell>
        </row>
        <row r="22">
          <cell r="A22">
            <v>20190</v>
          </cell>
          <cell r="B22" t="str">
            <v>Krishna</v>
          </cell>
          <cell r="C22" t="str">
            <v>Gannavaram</v>
          </cell>
          <cell r="D22" t="str">
            <v>Veerapanenigudem</v>
          </cell>
          <cell r="E22" t="str">
            <v>Panchayat office</v>
          </cell>
          <cell r="G22">
            <v>13.97</v>
          </cell>
          <cell r="H22">
            <v>13.77</v>
          </cell>
          <cell r="I22">
            <v>13.61</v>
          </cell>
          <cell r="J22">
            <v>13.760000000000002</v>
          </cell>
          <cell r="K22">
            <v>12.46</v>
          </cell>
          <cell r="L22">
            <v>8.7100000000000009</v>
          </cell>
          <cell r="M22">
            <v>6.46</v>
          </cell>
          <cell r="N22">
            <v>6.36</v>
          </cell>
        </row>
        <row r="23">
          <cell r="A23">
            <v>20191</v>
          </cell>
          <cell r="B23" t="str">
            <v>Krishna</v>
          </cell>
          <cell r="C23" t="str">
            <v>Ghantasala</v>
          </cell>
          <cell r="D23" t="str">
            <v>Ghantasala</v>
          </cell>
          <cell r="E23" t="str">
            <v>33/11 KV sub station</v>
          </cell>
          <cell r="G23">
            <v>11.85</v>
          </cell>
          <cell r="H23">
            <v>12.04</v>
          </cell>
          <cell r="I23">
            <v>12.18</v>
          </cell>
          <cell r="J23">
            <v>12.48</v>
          </cell>
          <cell r="K23">
            <v>11.41</v>
          </cell>
          <cell r="L23">
            <v>11.28</v>
          </cell>
          <cell r="M23">
            <v>10.27</v>
          </cell>
          <cell r="N23">
            <v>10.94</v>
          </cell>
        </row>
        <row r="24">
          <cell r="A24">
            <v>20192</v>
          </cell>
          <cell r="B24" t="str">
            <v>Krishna</v>
          </cell>
          <cell r="C24" t="str">
            <v>Gudiwada</v>
          </cell>
          <cell r="D24" t="str">
            <v>Billapadu</v>
          </cell>
          <cell r="E24" t="str">
            <v>33/11 KV sub station</v>
          </cell>
          <cell r="G24">
            <v>4.4400000000000004</v>
          </cell>
          <cell r="H24">
            <v>3.96</v>
          </cell>
          <cell r="I24">
            <v>4.22</v>
          </cell>
          <cell r="J24">
            <v>4.01</v>
          </cell>
          <cell r="K24">
            <v>3.8</v>
          </cell>
          <cell r="L24">
            <v>0.98</v>
          </cell>
          <cell r="M24">
            <v>0.92</v>
          </cell>
          <cell r="N24">
            <v>3.6900000000000004</v>
          </cell>
        </row>
        <row r="25">
          <cell r="A25">
            <v>20193</v>
          </cell>
          <cell r="B25" t="str">
            <v>Krishna</v>
          </cell>
          <cell r="C25" t="str">
            <v>Guduru</v>
          </cell>
          <cell r="D25" t="str">
            <v>Guduru</v>
          </cell>
          <cell r="E25" t="str">
            <v>ZPHS</v>
          </cell>
          <cell r="G25">
            <v>2.2200000000000002</v>
          </cell>
          <cell r="H25">
            <v>1.1700000000000002</v>
          </cell>
          <cell r="I25">
            <v>2.02</v>
          </cell>
          <cell r="J25">
            <v>1.8699999999999999</v>
          </cell>
          <cell r="K25">
            <v>1.1300000000000001</v>
          </cell>
          <cell r="L25">
            <v>0.9</v>
          </cell>
          <cell r="M25">
            <v>1.02</v>
          </cell>
          <cell r="N25">
            <v>1.7300000000000002</v>
          </cell>
        </row>
        <row r="26">
          <cell r="A26">
            <v>20194</v>
          </cell>
          <cell r="B26" t="str">
            <v>Krishna</v>
          </cell>
          <cell r="C26" t="str">
            <v>Kruthivennu</v>
          </cell>
          <cell r="D26" t="str">
            <v>Kruthivennu</v>
          </cell>
          <cell r="E26" t="str">
            <v>33/11 KV substation</v>
          </cell>
          <cell r="G26">
            <v>1.21</v>
          </cell>
          <cell r="H26">
            <v>0.9900000000000001</v>
          </cell>
          <cell r="I26">
            <v>1</v>
          </cell>
          <cell r="J26">
            <v>1.1499999999999999</v>
          </cell>
          <cell r="K26">
            <v>0.91</v>
          </cell>
          <cell r="L26">
            <v>0.72</v>
          </cell>
          <cell r="M26">
            <v>0.65</v>
          </cell>
          <cell r="N26">
            <v>0.93</v>
          </cell>
        </row>
        <row r="27">
          <cell r="A27">
            <v>20195</v>
          </cell>
          <cell r="B27" t="str">
            <v>Krishna</v>
          </cell>
          <cell r="C27" t="str">
            <v>Machilipatnam</v>
          </cell>
          <cell r="D27" t="str">
            <v>Machilipatnam</v>
          </cell>
          <cell r="E27" t="str">
            <v>33/11 KV substation</v>
          </cell>
          <cell r="G27">
            <v>1.1100000000000001</v>
          </cell>
          <cell r="H27">
            <v>0.15000000000000002</v>
          </cell>
          <cell r="I27">
            <v>0.59</v>
          </cell>
          <cell r="J27">
            <v>0.44000000000000006</v>
          </cell>
          <cell r="K27">
            <v>0.16000000000000003</v>
          </cell>
          <cell r="L27">
            <v>0</v>
          </cell>
          <cell r="M27">
            <v>0.42</v>
          </cell>
          <cell r="N27">
            <v>1.1200000000000001</v>
          </cell>
        </row>
        <row r="28">
          <cell r="A28">
            <v>20196</v>
          </cell>
          <cell r="B28" t="str">
            <v>Krishna</v>
          </cell>
          <cell r="C28" t="str">
            <v>Movva</v>
          </cell>
          <cell r="D28" t="str">
            <v>Nidumolu</v>
          </cell>
          <cell r="E28" t="str">
            <v>ZPHS</v>
          </cell>
          <cell r="G28">
            <v>2.58</v>
          </cell>
          <cell r="H28">
            <v>1.53</v>
          </cell>
          <cell r="I28">
            <v>1.62</v>
          </cell>
          <cell r="J28">
            <v>1.55</v>
          </cell>
          <cell r="K28">
            <v>1.1500000000000001</v>
          </cell>
          <cell r="L28">
            <v>0.99</v>
          </cell>
          <cell r="M28">
            <v>0.88</v>
          </cell>
          <cell r="N28">
            <v>1.95</v>
          </cell>
        </row>
        <row r="29">
          <cell r="A29">
            <v>20197</v>
          </cell>
          <cell r="B29" t="str">
            <v>Krishna</v>
          </cell>
          <cell r="C29" t="str">
            <v>Nagayalanka</v>
          </cell>
          <cell r="D29" t="str">
            <v>Nagayalanka</v>
          </cell>
          <cell r="E29" t="str">
            <v>33/11 KV substation</v>
          </cell>
          <cell r="G29">
            <v>1.66</v>
          </cell>
          <cell r="H29">
            <v>0.45999999999999996</v>
          </cell>
          <cell r="I29">
            <v>0.96</v>
          </cell>
          <cell r="J29">
            <v>0.66999999999999993</v>
          </cell>
          <cell r="K29">
            <v>0.25</v>
          </cell>
          <cell r="L29">
            <v>0.14000000000000001</v>
          </cell>
          <cell r="M29">
            <v>0</v>
          </cell>
          <cell r="N29">
            <v>0.25</v>
          </cell>
        </row>
        <row r="30">
          <cell r="A30">
            <v>20198</v>
          </cell>
          <cell r="B30" t="str">
            <v>Krishna</v>
          </cell>
          <cell r="C30" t="str">
            <v>Pedaparupudi</v>
          </cell>
          <cell r="D30" t="str">
            <v>Ventrapragada</v>
          </cell>
          <cell r="E30" t="str">
            <v>ZPHS</v>
          </cell>
          <cell r="G30">
            <v>6.87</v>
          </cell>
          <cell r="H30">
            <v>6.3800000000000008</v>
          </cell>
          <cell r="I30">
            <v>7.35</v>
          </cell>
          <cell r="J30">
            <v>7.0600000000000005</v>
          </cell>
          <cell r="K30">
            <v>5.7099999999999991</v>
          </cell>
          <cell r="L30">
            <v>4.67</v>
          </cell>
          <cell r="M30">
            <v>2.92</v>
          </cell>
          <cell r="N30">
            <v>4.16</v>
          </cell>
        </row>
        <row r="31">
          <cell r="A31">
            <v>20199</v>
          </cell>
          <cell r="B31" t="str">
            <v>Krishna</v>
          </cell>
          <cell r="C31" t="str">
            <v>Pedaparupudi</v>
          </cell>
          <cell r="D31" t="str">
            <v>Yelamarru</v>
          </cell>
          <cell r="E31" t="str">
            <v>ZPHS</v>
          </cell>
          <cell r="G31">
            <v>12.4</v>
          </cell>
          <cell r="H31">
            <v>14.24</v>
          </cell>
          <cell r="I31">
            <v>12.93</v>
          </cell>
          <cell r="J31">
            <v>14.78</v>
          </cell>
          <cell r="K31">
            <v>13.5</v>
          </cell>
          <cell r="L31">
            <v>12.76</v>
          </cell>
          <cell r="M31">
            <v>12.13</v>
          </cell>
          <cell r="N31">
            <v>11.79</v>
          </cell>
        </row>
        <row r="32">
          <cell r="A32">
            <v>20200</v>
          </cell>
          <cell r="B32" t="str">
            <v>Krishna</v>
          </cell>
          <cell r="C32" t="str">
            <v>Penamaluru</v>
          </cell>
          <cell r="D32" t="str">
            <v>Kanuru</v>
          </cell>
          <cell r="E32" t="str">
            <v>ZPHS</v>
          </cell>
          <cell r="G32">
            <v>23.27</v>
          </cell>
          <cell r="H32">
            <v>21.44</v>
          </cell>
          <cell r="I32">
            <v>23.58</v>
          </cell>
          <cell r="J32">
            <v>24.14</v>
          </cell>
          <cell r="K32">
            <v>23.680000000000003</v>
          </cell>
          <cell r="L32">
            <v>23.57</v>
          </cell>
          <cell r="M32">
            <v>23.24</v>
          </cell>
          <cell r="N32">
            <v>23.610000000000003</v>
          </cell>
        </row>
        <row r="33">
          <cell r="A33">
            <v>20201</v>
          </cell>
          <cell r="B33" t="str">
            <v>Krishna</v>
          </cell>
          <cell r="C33" t="str">
            <v>Thotlavalluru</v>
          </cell>
          <cell r="D33" t="str">
            <v>Thotlavalluru</v>
          </cell>
          <cell r="E33" t="str">
            <v>33/11 KV substation</v>
          </cell>
          <cell r="G33">
            <v>7.62</v>
          </cell>
          <cell r="H33">
            <v>7.13</v>
          </cell>
          <cell r="I33">
            <v>7.65</v>
          </cell>
          <cell r="J33">
            <v>8.17</v>
          </cell>
          <cell r="K33">
            <v>4.6000000000000005</v>
          </cell>
          <cell r="L33">
            <v>3.75</v>
          </cell>
          <cell r="M33">
            <v>3.35</v>
          </cell>
          <cell r="N33">
            <v>3.77</v>
          </cell>
        </row>
        <row r="34">
          <cell r="A34">
            <v>20202</v>
          </cell>
          <cell r="B34" t="str">
            <v>Krishna</v>
          </cell>
          <cell r="C34" t="str">
            <v>Unguturu</v>
          </cell>
          <cell r="D34" t="str">
            <v>Telaprolu</v>
          </cell>
          <cell r="E34" t="str">
            <v>ZPHS</v>
          </cell>
          <cell r="G34">
            <v>10.029999999999999</v>
          </cell>
          <cell r="H34">
            <v>6.47</v>
          </cell>
          <cell r="I34">
            <v>8.6300000000000008</v>
          </cell>
          <cell r="J34">
            <v>6.91</v>
          </cell>
          <cell r="K34">
            <v>5.96</v>
          </cell>
          <cell r="L34">
            <v>4.22</v>
          </cell>
          <cell r="M34">
            <v>4.08</v>
          </cell>
          <cell r="N34">
            <v>5.26</v>
          </cell>
        </row>
        <row r="35">
          <cell r="A35">
            <v>20203</v>
          </cell>
          <cell r="B35" t="str">
            <v>Krishna</v>
          </cell>
          <cell r="C35" t="str">
            <v>Unguturu</v>
          </cell>
          <cell r="D35" t="str">
            <v>Unguturu</v>
          </cell>
          <cell r="G35">
            <v>6.98</v>
          </cell>
          <cell r="H35">
            <v>6.5</v>
          </cell>
          <cell r="I35">
            <v>6.67</v>
          </cell>
          <cell r="J35">
            <v>6.91</v>
          </cell>
          <cell r="K35">
            <v>5.52</v>
          </cell>
          <cell r="L35">
            <v>6.36</v>
          </cell>
          <cell r="M35">
            <v>6.22</v>
          </cell>
          <cell r="N35">
            <v>6.29</v>
          </cell>
        </row>
        <row r="36">
          <cell r="A36">
            <v>20203</v>
          </cell>
          <cell r="B36" t="str">
            <v>Krishna</v>
          </cell>
          <cell r="C36" t="str">
            <v>Unguturu</v>
          </cell>
          <cell r="D36" t="str">
            <v>Unguturu</v>
          </cell>
          <cell r="E36" t="str">
            <v>33/11 KV sub station</v>
          </cell>
          <cell r="G36">
            <v>6.98</v>
          </cell>
          <cell r="H36">
            <v>6.5</v>
          </cell>
          <cell r="I36">
            <v>6.67</v>
          </cell>
          <cell r="J36">
            <v>6.91</v>
          </cell>
          <cell r="K36">
            <v>5.52</v>
          </cell>
          <cell r="L36">
            <v>6.36</v>
          </cell>
          <cell r="M36">
            <v>6.22</v>
          </cell>
          <cell r="N36">
            <v>6.29</v>
          </cell>
        </row>
        <row r="37">
          <cell r="A37">
            <v>30147</v>
          </cell>
          <cell r="B37" t="str">
            <v>Krishna</v>
          </cell>
          <cell r="C37" t="str">
            <v>Nagayalanka</v>
          </cell>
          <cell r="D37" t="str">
            <v>Ganapeswaram</v>
          </cell>
          <cell r="E37" t="str">
            <v>MPP School</v>
          </cell>
          <cell r="G37">
            <v>10.92</v>
          </cell>
          <cell r="H37">
            <v>10.66</v>
          </cell>
          <cell r="I37">
            <v>10.17</v>
          </cell>
          <cell r="J37">
            <v>10.76</v>
          </cell>
          <cell r="K37">
            <v>9.08</v>
          </cell>
          <cell r="L37">
            <v>10.7</v>
          </cell>
          <cell r="M37">
            <v>9.77</v>
          </cell>
          <cell r="N37">
            <v>10.88</v>
          </cell>
        </row>
        <row r="38">
          <cell r="A38">
            <v>30148</v>
          </cell>
          <cell r="B38" t="str">
            <v>Krishna</v>
          </cell>
          <cell r="C38" t="str">
            <v>Bapulapadu</v>
          </cell>
          <cell r="D38" t="str">
            <v>Madicherla</v>
          </cell>
          <cell r="E38" t="str">
            <v>33/11 KV Sub station</v>
          </cell>
          <cell r="G38">
            <v>52.93</v>
          </cell>
          <cell r="H38">
            <v>52.9</v>
          </cell>
          <cell r="I38">
            <v>52.36</v>
          </cell>
          <cell r="J38">
            <v>52.67</v>
          </cell>
          <cell r="K38">
            <v>52.42</v>
          </cell>
          <cell r="L38">
            <v>52.46</v>
          </cell>
          <cell r="M38">
            <v>52.5</v>
          </cell>
          <cell r="N38">
            <v>52.52</v>
          </cell>
        </row>
        <row r="39">
          <cell r="A39">
            <v>30156</v>
          </cell>
          <cell r="B39" t="str">
            <v>Krishna</v>
          </cell>
          <cell r="C39" t="str">
            <v>Gannavaram</v>
          </cell>
          <cell r="D39" t="str">
            <v>Veduru pavuluru</v>
          </cell>
          <cell r="G39">
            <v>8.94</v>
          </cell>
          <cell r="H39">
            <v>4.8899999999999997</v>
          </cell>
          <cell r="I39">
            <v>9.3000000000000007</v>
          </cell>
          <cell r="J39">
            <v>8.7700000000000014</v>
          </cell>
          <cell r="K39">
            <v>5.8999999999999995</v>
          </cell>
          <cell r="L39">
            <v>2.79</v>
          </cell>
          <cell r="M39">
            <v>1.45</v>
          </cell>
          <cell r="N39">
            <v>1.1700000000000002</v>
          </cell>
        </row>
        <row r="40">
          <cell r="A40">
            <v>30156</v>
          </cell>
          <cell r="B40" t="str">
            <v>Krishna</v>
          </cell>
          <cell r="C40" t="str">
            <v>Gannavaram</v>
          </cell>
          <cell r="D40" t="str">
            <v>Veduru pavuluru</v>
          </cell>
          <cell r="E40" t="str">
            <v>MPP School</v>
          </cell>
          <cell r="G40">
            <v>8.94</v>
          </cell>
          <cell r="H40">
            <v>4.8899999999999997</v>
          </cell>
          <cell r="I40">
            <v>9.3000000000000007</v>
          </cell>
          <cell r="J40">
            <v>8.7700000000000014</v>
          </cell>
          <cell r="K40">
            <v>5.8999999999999995</v>
          </cell>
          <cell r="L40">
            <v>2.79</v>
          </cell>
          <cell r="M40">
            <v>1.45</v>
          </cell>
          <cell r="N40">
            <v>1.1700000000000002</v>
          </cell>
        </row>
        <row r="41">
          <cell r="A41">
            <v>30156</v>
          </cell>
          <cell r="B41" t="str">
            <v>Krishna</v>
          </cell>
          <cell r="C41" t="str">
            <v>Gannavaram</v>
          </cell>
          <cell r="D41" t="str">
            <v>Veduru pavuluru</v>
          </cell>
          <cell r="E41" t="str">
            <v>MPP School</v>
          </cell>
          <cell r="G41">
            <v>8.94</v>
          </cell>
          <cell r="H41">
            <v>4.8899999999999997</v>
          </cell>
          <cell r="I41">
            <v>9.3000000000000007</v>
          </cell>
          <cell r="J41">
            <v>8.7700000000000014</v>
          </cell>
          <cell r="K41">
            <v>5.8999999999999995</v>
          </cell>
          <cell r="L41">
            <v>2.79</v>
          </cell>
          <cell r="M41">
            <v>1.45</v>
          </cell>
          <cell r="N41">
            <v>1.1700000000000002</v>
          </cell>
        </row>
        <row r="42">
          <cell r="A42">
            <v>30162</v>
          </cell>
          <cell r="B42" t="str">
            <v>Krishna</v>
          </cell>
          <cell r="C42" t="str">
            <v>Koduru</v>
          </cell>
          <cell r="D42" t="str">
            <v>Pittallanka-I</v>
          </cell>
          <cell r="E42" t="str">
            <v>Village water tank premises</v>
          </cell>
          <cell r="G42">
            <v>3.71</v>
          </cell>
          <cell r="H42">
            <v>2.0099999999999998</v>
          </cell>
          <cell r="I42">
            <v>3.86</v>
          </cell>
          <cell r="J42">
            <v>3.89</v>
          </cell>
          <cell r="K42">
            <v>2.3699999999999997</v>
          </cell>
          <cell r="L42">
            <v>1.54</v>
          </cell>
          <cell r="M42">
            <v>1.46</v>
          </cell>
          <cell r="N42">
            <v>2.1599999999999997</v>
          </cell>
        </row>
        <row r="43">
          <cell r="A43">
            <v>30163</v>
          </cell>
          <cell r="B43" t="str">
            <v>Krishna</v>
          </cell>
          <cell r="C43" t="str">
            <v>Koduru</v>
          </cell>
          <cell r="D43" t="str">
            <v>Pittallanka-II</v>
          </cell>
          <cell r="E43" t="str">
            <v>Village water tank premises</v>
          </cell>
          <cell r="G43">
            <v>18.86</v>
          </cell>
          <cell r="H43">
            <v>16.96</v>
          </cell>
          <cell r="I43">
            <v>19.510000000000002</v>
          </cell>
          <cell r="J43">
            <v>20.93</v>
          </cell>
          <cell r="K43">
            <v>19.760000000000002</v>
          </cell>
          <cell r="L43">
            <v>18.03</v>
          </cell>
          <cell r="M43">
            <v>17.8</v>
          </cell>
          <cell r="N43">
            <v>16.2</v>
          </cell>
        </row>
        <row r="44">
          <cell r="A44">
            <v>30383</v>
          </cell>
          <cell r="B44" t="str">
            <v>Krishna</v>
          </cell>
          <cell r="C44" t="str">
            <v>Bantumilli</v>
          </cell>
          <cell r="D44" t="str">
            <v>Bantumilli</v>
          </cell>
          <cell r="E44" t="str">
            <v>33/11 KV Sub station</v>
          </cell>
          <cell r="G44">
            <v>1.02</v>
          </cell>
          <cell r="H44">
            <v>0.20000000000000007</v>
          </cell>
          <cell r="I44">
            <v>0.88</v>
          </cell>
          <cell r="J44">
            <v>3.9999999999999925E-2</v>
          </cell>
          <cell r="K44">
            <v>3.0000000000000027E-2</v>
          </cell>
          <cell r="L44">
            <v>0</v>
          </cell>
          <cell r="M44">
            <v>0</v>
          </cell>
          <cell r="N44">
            <v>0.4</v>
          </cell>
        </row>
        <row r="45">
          <cell r="A45">
            <v>30385</v>
          </cell>
          <cell r="B45" t="str">
            <v>Krishna</v>
          </cell>
          <cell r="C45" t="str">
            <v>Mopidevi</v>
          </cell>
          <cell r="D45" t="str">
            <v>Bobbaralanka</v>
          </cell>
          <cell r="E45" t="str">
            <v>MPP School</v>
          </cell>
          <cell r="G45">
            <v>7.5</v>
          </cell>
          <cell r="H45">
            <v>6.47</v>
          </cell>
          <cell r="I45">
            <v>7</v>
          </cell>
          <cell r="J45">
            <v>7.0299999999999994</v>
          </cell>
          <cell r="K45">
            <v>4.05</v>
          </cell>
          <cell r="L45">
            <v>4.37</v>
          </cell>
          <cell r="M45">
            <v>4.66</v>
          </cell>
          <cell r="N45">
            <v>5.7799999999999994</v>
          </cell>
        </row>
        <row r="46">
          <cell r="A46">
            <v>30386</v>
          </cell>
          <cell r="B46" t="str">
            <v>Krishna</v>
          </cell>
          <cell r="C46" t="str">
            <v>Machilipatnam</v>
          </cell>
          <cell r="D46" t="str">
            <v>Mangenapudi Beach</v>
          </cell>
          <cell r="E46" t="str">
            <v>33/11 KV Sub station</v>
          </cell>
          <cell r="G46">
            <v>1.8</v>
          </cell>
          <cell r="H46">
            <v>0.52</v>
          </cell>
          <cell r="I46">
            <v>4.71</v>
          </cell>
          <cell r="J46">
            <v>3.9000000000000004</v>
          </cell>
          <cell r="K46">
            <v>2.7</v>
          </cell>
          <cell r="L46">
            <v>0.73</v>
          </cell>
          <cell r="M46">
            <v>1.48</v>
          </cell>
          <cell r="N46">
            <v>0.78</v>
          </cell>
        </row>
        <row r="47">
          <cell r="A47">
            <v>30387</v>
          </cell>
          <cell r="B47" t="str">
            <v>Krishna</v>
          </cell>
          <cell r="C47" t="str">
            <v>Guduru</v>
          </cell>
          <cell r="D47" t="str">
            <v>Mukkollu</v>
          </cell>
          <cell r="E47" t="str">
            <v>ZPHS</v>
          </cell>
          <cell r="G47">
            <v>4.38</v>
          </cell>
          <cell r="H47">
            <v>4.01</v>
          </cell>
          <cell r="I47">
            <v>3.97</v>
          </cell>
          <cell r="J47">
            <v>4.3499999999999996</v>
          </cell>
          <cell r="K47">
            <v>4.25</v>
          </cell>
          <cell r="L47">
            <v>3.94</v>
          </cell>
          <cell r="M47">
            <v>3.76</v>
          </cell>
          <cell r="N47">
            <v>4.04</v>
          </cell>
        </row>
        <row r="48">
          <cell r="A48">
            <v>30388</v>
          </cell>
          <cell r="B48" t="str">
            <v>Krishna</v>
          </cell>
          <cell r="C48" t="str">
            <v>Pedana</v>
          </cell>
          <cell r="D48" t="str">
            <v>Penumalli</v>
          </cell>
          <cell r="E48" t="str">
            <v xml:space="preserve"> ZPHS</v>
          </cell>
          <cell r="G48">
            <v>11.45</v>
          </cell>
          <cell r="H48">
            <v>10.799999999999999</v>
          </cell>
          <cell r="I48">
            <v>13.95</v>
          </cell>
          <cell r="J48">
            <v>13.74</v>
          </cell>
          <cell r="K48">
            <v>13.82</v>
          </cell>
          <cell r="L48">
            <v>13.48</v>
          </cell>
          <cell r="M48">
            <v>15.55</v>
          </cell>
          <cell r="N48">
            <v>13.719999999999999</v>
          </cell>
        </row>
        <row r="49">
          <cell r="A49">
            <v>30389</v>
          </cell>
          <cell r="B49" t="str">
            <v>Krishna</v>
          </cell>
          <cell r="C49" t="str">
            <v>Avanigadda</v>
          </cell>
          <cell r="D49" t="str">
            <v>Ramachandra puram</v>
          </cell>
          <cell r="E49" t="str">
            <v>MPP School</v>
          </cell>
          <cell r="G49">
            <v>5.52</v>
          </cell>
          <cell r="H49">
            <v>4.5500000000000007</v>
          </cell>
          <cell r="I49">
            <v>4.68</v>
          </cell>
          <cell r="J49">
            <v>5.08</v>
          </cell>
          <cell r="K49">
            <v>3.61</v>
          </cell>
          <cell r="L49">
            <v>3.57</v>
          </cell>
          <cell r="M49">
            <v>1.79</v>
          </cell>
          <cell r="N49">
            <v>2.19</v>
          </cell>
        </row>
        <row r="50">
          <cell r="A50">
            <v>30395</v>
          </cell>
          <cell r="B50" t="str">
            <v>Krishna</v>
          </cell>
          <cell r="C50" t="str">
            <v>Koduru</v>
          </cell>
          <cell r="D50" t="str">
            <v>Koduru</v>
          </cell>
          <cell r="E50" t="str">
            <v>Panchayat office</v>
          </cell>
          <cell r="G50">
            <v>8.8699999999999992</v>
          </cell>
          <cell r="H50">
            <v>4.09</v>
          </cell>
          <cell r="I50">
            <v>0.89</v>
          </cell>
          <cell r="J50">
            <v>6.8</v>
          </cell>
          <cell r="K50">
            <v>3.67</v>
          </cell>
          <cell r="L50">
            <v>1.6</v>
          </cell>
          <cell r="M50">
            <v>1.04</v>
          </cell>
          <cell r="N50">
            <v>1.71</v>
          </cell>
        </row>
        <row r="51">
          <cell r="A51">
            <v>30403</v>
          </cell>
          <cell r="B51" t="str">
            <v>Krishna</v>
          </cell>
          <cell r="C51" t="str">
            <v>Pedaparupudi</v>
          </cell>
          <cell r="D51" t="str">
            <v>Dosapadu-I</v>
          </cell>
          <cell r="E51" t="str">
            <v xml:space="preserve"> ZPHS</v>
          </cell>
          <cell r="G51">
            <v>9.9600000000000009</v>
          </cell>
          <cell r="H51">
            <v>11.14</v>
          </cell>
          <cell r="I51">
            <v>10.06</v>
          </cell>
          <cell r="J51">
            <v>10.46</v>
          </cell>
          <cell r="K51">
            <v>10.09</v>
          </cell>
          <cell r="L51">
            <v>9.51</v>
          </cell>
          <cell r="M51">
            <v>9.02</v>
          </cell>
          <cell r="N51">
            <v>9.76</v>
          </cell>
        </row>
        <row r="52">
          <cell r="A52">
            <v>30404</v>
          </cell>
          <cell r="B52" t="str">
            <v>Krishna</v>
          </cell>
          <cell r="C52" t="str">
            <v>Pedaparupudi</v>
          </cell>
          <cell r="D52" t="str">
            <v>Dosapadu-II</v>
          </cell>
          <cell r="E52" t="str">
            <v xml:space="preserve"> ZPHS</v>
          </cell>
          <cell r="G52">
            <v>8.89</v>
          </cell>
          <cell r="H52">
            <v>10.52</v>
          </cell>
          <cell r="I52">
            <v>9.2200000000000006</v>
          </cell>
          <cell r="J52">
            <v>9.52</v>
          </cell>
          <cell r="K52">
            <v>9.27</v>
          </cell>
          <cell r="L52">
            <v>8.52</v>
          </cell>
          <cell r="M52">
            <v>8.44</v>
          </cell>
          <cell r="N52">
            <v>9.2899999999999991</v>
          </cell>
        </row>
        <row r="53">
          <cell r="A53">
            <v>30405</v>
          </cell>
          <cell r="B53" t="str">
            <v>Krishna</v>
          </cell>
          <cell r="C53" t="str">
            <v>Pamidimukkala</v>
          </cell>
          <cell r="D53" t="str">
            <v>Meduru-I</v>
          </cell>
          <cell r="E53" t="str">
            <v xml:space="preserve"> ZPHS</v>
          </cell>
          <cell r="G53">
            <v>4.8</v>
          </cell>
          <cell r="H53">
            <v>2</v>
          </cell>
          <cell r="I53">
            <v>5.33</v>
          </cell>
          <cell r="J53">
            <v>5.6499999999999995</v>
          </cell>
          <cell r="K53">
            <v>1.3199999999999998</v>
          </cell>
          <cell r="L53">
            <v>1.25</v>
          </cell>
          <cell r="M53">
            <v>1.21</v>
          </cell>
          <cell r="N53">
            <v>2.8</v>
          </cell>
        </row>
        <row r="54">
          <cell r="A54">
            <v>30406</v>
          </cell>
          <cell r="B54" t="str">
            <v>Krishna</v>
          </cell>
          <cell r="C54" t="str">
            <v>Pamidimukkala</v>
          </cell>
          <cell r="D54" t="str">
            <v>Meduru-II</v>
          </cell>
          <cell r="E54" t="str">
            <v xml:space="preserve"> ZPHS</v>
          </cell>
          <cell r="G54">
            <v>8.36</v>
          </cell>
          <cell r="H54">
            <v>7.8500000000000005</v>
          </cell>
          <cell r="I54">
            <v>8.74</v>
          </cell>
          <cell r="J54">
            <v>8.93</v>
          </cell>
          <cell r="K54">
            <v>5.61</v>
          </cell>
          <cell r="L54">
            <v>5.28</v>
          </cell>
          <cell r="M54">
            <v>4.45</v>
          </cell>
          <cell r="N54">
            <v>5.5200000000000005</v>
          </cell>
        </row>
        <row r="55">
          <cell r="A55">
            <v>50019</v>
          </cell>
          <cell r="B55" t="str">
            <v>Krishna</v>
          </cell>
          <cell r="C55" t="str">
            <v>Bantumilli</v>
          </cell>
          <cell r="D55" t="str">
            <v xml:space="preserve">Munjuluru </v>
          </cell>
          <cell r="E55" t="str">
            <v>ZPHS</v>
          </cell>
          <cell r="G55">
            <v>28.77</v>
          </cell>
          <cell r="I55">
            <v>27.32</v>
          </cell>
          <cell r="J55">
            <v>28.06</v>
          </cell>
        </row>
        <row r="56">
          <cell r="A56">
            <v>50020</v>
          </cell>
          <cell r="B56" t="str">
            <v>Krishna</v>
          </cell>
          <cell r="C56" t="str">
            <v>Challapalli</v>
          </cell>
          <cell r="D56" t="str">
            <v>Nadakuduru</v>
          </cell>
          <cell r="E56" t="str">
            <v>Panchayat office</v>
          </cell>
          <cell r="G56">
            <v>5.18</v>
          </cell>
          <cell r="H56">
            <v>2.1</v>
          </cell>
          <cell r="I56">
            <v>5.25</v>
          </cell>
          <cell r="J56">
            <v>2.38</v>
          </cell>
          <cell r="K56">
            <v>1.42</v>
          </cell>
          <cell r="L56">
            <v>1.45</v>
          </cell>
          <cell r="M56">
            <v>0.78</v>
          </cell>
          <cell r="N56">
            <v>1.87</v>
          </cell>
        </row>
        <row r="57">
          <cell r="A57">
            <v>50021</v>
          </cell>
          <cell r="B57" t="str">
            <v>Krishna</v>
          </cell>
          <cell r="C57" t="str">
            <v>Challapalli</v>
          </cell>
          <cell r="D57" t="str">
            <v>NadakuduruStallin</v>
          </cell>
          <cell r="E57" t="str">
            <v>Former's Land</v>
          </cell>
          <cell r="G57">
            <v>5.22</v>
          </cell>
          <cell r="H57">
            <v>3.91</v>
          </cell>
          <cell r="I57">
            <v>4.91</v>
          </cell>
          <cell r="J57">
            <v>5.0199999999999996</v>
          </cell>
          <cell r="K57">
            <v>1.18</v>
          </cell>
          <cell r="L57">
            <v>0.6</v>
          </cell>
          <cell r="M57">
            <v>2.68</v>
          </cell>
          <cell r="N57">
            <v>3.76</v>
          </cell>
        </row>
        <row r="58">
          <cell r="A58">
            <v>50022</v>
          </cell>
          <cell r="B58" t="str">
            <v>Krishna</v>
          </cell>
          <cell r="C58" t="str">
            <v>Challapalli</v>
          </cell>
          <cell r="D58" t="str">
            <v>Yarlagadda</v>
          </cell>
          <cell r="E58" t="str">
            <v>Venugopalaswamy Temple</v>
          </cell>
          <cell r="G58">
            <v>4.37</v>
          </cell>
          <cell r="H58">
            <v>1.5499999999999998</v>
          </cell>
          <cell r="I58">
            <v>4.68</v>
          </cell>
          <cell r="J58">
            <v>1.9</v>
          </cell>
          <cell r="K58">
            <v>1.31</v>
          </cell>
          <cell r="L58">
            <v>1.29</v>
          </cell>
          <cell r="M58">
            <v>1.1000000000000001</v>
          </cell>
          <cell r="N58">
            <v>1.7200000000000002</v>
          </cell>
        </row>
        <row r="59">
          <cell r="A59">
            <v>50023</v>
          </cell>
          <cell r="B59" t="str">
            <v>Krishna</v>
          </cell>
          <cell r="C59" t="str">
            <v>Ghantasala</v>
          </cell>
          <cell r="D59" t="str">
            <v>Srikakulam</v>
          </cell>
          <cell r="E59" t="str">
            <v>Irrigation Iguest House</v>
          </cell>
          <cell r="G59">
            <v>9.44</v>
          </cell>
          <cell r="H59">
            <v>8.7999999999999989</v>
          </cell>
          <cell r="I59">
            <v>9.5299999999999994</v>
          </cell>
          <cell r="J59">
            <v>9.94</v>
          </cell>
          <cell r="K59">
            <v>9.02</v>
          </cell>
          <cell r="L59">
            <v>8.91</v>
          </cell>
          <cell r="M59">
            <v>8.68</v>
          </cell>
          <cell r="N59">
            <v>9.5299999999999994</v>
          </cell>
        </row>
        <row r="60">
          <cell r="A60">
            <v>50024</v>
          </cell>
          <cell r="B60" t="str">
            <v>Krishna</v>
          </cell>
          <cell r="C60" t="str">
            <v>Gudlavalleru</v>
          </cell>
          <cell r="D60" t="str">
            <v>Kowtavaram</v>
          </cell>
          <cell r="E60" t="str">
            <v>33/11 KV sub station</v>
          </cell>
          <cell r="G60">
            <v>16.920000000000002</v>
          </cell>
          <cell r="H60">
            <v>16.77</v>
          </cell>
          <cell r="I60">
            <v>16.45</v>
          </cell>
          <cell r="J60">
            <v>17.059999999999999</v>
          </cell>
          <cell r="K60">
            <v>16.82</v>
          </cell>
          <cell r="L60">
            <v>16.12</v>
          </cell>
          <cell r="M60">
            <v>15.69</v>
          </cell>
          <cell r="N60">
            <v>15.390000000000002</v>
          </cell>
        </row>
        <row r="61">
          <cell r="A61">
            <v>50025</v>
          </cell>
          <cell r="B61" t="str">
            <v>Krishna</v>
          </cell>
          <cell r="C61" t="str">
            <v>Kankipadu</v>
          </cell>
          <cell r="D61" t="str">
            <v>Kankipadu</v>
          </cell>
          <cell r="E61" t="str">
            <v>33/11 KV sub station</v>
          </cell>
          <cell r="G61">
            <v>15.41</v>
          </cell>
          <cell r="H61">
            <v>15.95</v>
          </cell>
          <cell r="I61">
            <v>5.83</v>
          </cell>
          <cell r="J61">
            <v>15.46</v>
          </cell>
          <cell r="K61">
            <v>15.08</v>
          </cell>
          <cell r="L61">
            <v>14.72</v>
          </cell>
          <cell r="M61">
            <v>14.53</v>
          </cell>
          <cell r="N61">
            <v>13.42</v>
          </cell>
        </row>
        <row r="62">
          <cell r="A62">
            <v>50026</v>
          </cell>
          <cell r="B62" t="str">
            <v>Krishna</v>
          </cell>
          <cell r="C62" t="str">
            <v>Pamarru</v>
          </cell>
          <cell r="D62" t="str">
            <v>Pamarru-1</v>
          </cell>
          <cell r="E62" t="str">
            <v>Market yard</v>
          </cell>
          <cell r="G62">
            <v>14.63</v>
          </cell>
          <cell r="H62">
            <v>15.77</v>
          </cell>
          <cell r="I62">
            <v>14.13</v>
          </cell>
          <cell r="J62">
            <v>16.32</v>
          </cell>
          <cell r="K62">
            <v>14.98</v>
          </cell>
          <cell r="L62">
            <v>14.31</v>
          </cell>
          <cell r="M62">
            <v>14.82</v>
          </cell>
          <cell r="N62">
            <v>15.370000000000001</v>
          </cell>
        </row>
        <row r="63">
          <cell r="A63">
            <v>50027</v>
          </cell>
          <cell r="B63" t="str">
            <v>Krishna</v>
          </cell>
          <cell r="C63" t="str">
            <v>Pamarru</v>
          </cell>
          <cell r="D63" t="str">
            <v>Pamarru-2</v>
          </cell>
          <cell r="E63" t="str">
            <v>Market yard</v>
          </cell>
          <cell r="G63">
            <v>14.28</v>
          </cell>
          <cell r="H63">
            <v>15.049999999999999</v>
          </cell>
          <cell r="I63">
            <v>14.93</v>
          </cell>
          <cell r="J63">
            <v>15.929999999999998</v>
          </cell>
          <cell r="K63">
            <v>15.389999999999999</v>
          </cell>
          <cell r="L63">
            <v>13.9</v>
          </cell>
          <cell r="M63">
            <v>15.2</v>
          </cell>
          <cell r="N63">
            <v>16.18</v>
          </cell>
        </row>
        <row r="64">
          <cell r="A64">
            <v>50028</v>
          </cell>
          <cell r="B64" t="str">
            <v>Krishna</v>
          </cell>
          <cell r="C64" t="str">
            <v>Pamarru</v>
          </cell>
          <cell r="D64" t="str">
            <v>Pamarru-3</v>
          </cell>
          <cell r="E64" t="str">
            <v>Market yard</v>
          </cell>
          <cell r="G64">
            <v>17.32</v>
          </cell>
          <cell r="H64">
            <v>18.440000000000001</v>
          </cell>
          <cell r="I64">
            <v>14.11</v>
          </cell>
          <cell r="J64">
            <v>19.12</v>
          </cell>
          <cell r="K64">
            <v>17.98</v>
          </cell>
          <cell r="L64">
            <v>17.28</v>
          </cell>
          <cell r="M64">
            <v>17.489999999999998</v>
          </cell>
          <cell r="N64">
            <v>18.05</v>
          </cell>
        </row>
        <row r="65">
          <cell r="A65">
            <v>50029</v>
          </cell>
          <cell r="B65" t="str">
            <v>Krishna</v>
          </cell>
          <cell r="C65" t="str">
            <v>Pedana</v>
          </cell>
          <cell r="D65" t="str">
            <v>Pedana</v>
          </cell>
          <cell r="E65" t="str">
            <v>33/11 KV sub station</v>
          </cell>
          <cell r="G65">
            <v>21.01</v>
          </cell>
          <cell r="I65">
            <v>19.989999999999998</v>
          </cell>
          <cell r="J65">
            <v>20.520000000000003</v>
          </cell>
        </row>
        <row r="66">
          <cell r="A66">
            <v>21348</v>
          </cell>
          <cell r="B66" t="str">
            <v>N.T.R</v>
          </cell>
          <cell r="C66" t="str">
            <v>A.Konduru</v>
          </cell>
          <cell r="D66" t="str">
            <v>Kambhampadu</v>
          </cell>
          <cell r="E66" t="str">
            <v>33/11 KV substation</v>
          </cell>
          <cell r="M66">
            <v>2.2200000000000002</v>
          </cell>
          <cell r="N66">
            <v>2.68</v>
          </cell>
        </row>
        <row r="67">
          <cell r="A67">
            <v>20486</v>
          </cell>
          <cell r="B67" t="str">
            <v>N.T.R</v>
          </cell>
          <cell r="C67" t="str">
            <v>Chandarlapadu</v>
          </cell>
          <cell r="D67" t="str">
            <v>Chandarlapadu</v>
          </cell>
          <cell r="E67" t="str">
            <v>ZPHS</v>
          </cell>
          <cell r="M67">
            <v>6.26</v>
          </cell>
          <cell r="N67">
            <v>6.12</v>
          </cell>
        </row>
        <row r="68">
          <cell r="A68">
            <v>20492</v>
          </cell>
          <cell r="B68" t="str">
            <v>N.T.R</v>
          </cell>
          <cell r="C68" t="str">
            <v>G.Konduru</v>
          </cell>
          <cell r="D68" t="str">
            <v>Gangineni</v>
          </cell>
          <cell r="E68" t="str">
            <v>Veternary hospital</v>
          </cell>
          <cell r="M68">
            <v>18.73</v>
          </cell>
          <cell r="N68">
            <v>17.66</v>
          </cell>
        </row>
        <row r="69">
          <cell r="A69">
            <v>20495</v>
          </cell>
          <cell r="B69" t="str">
            <v>N.T.R</v>
          </cell>
          <cell r="C69" t="str">
            <v>Gampalagudem</v>
          </cell>
          <cell r="D69" t="str">
            <v>Gampalagudem</v>
          </cell>
          <cell r="E69" t="str">
            <v>MRO office</v>
          </cell>
          <cell r="M69">
            <v>2.4900000000000002</v>
          </cell>
          <cell r="N69">
            <v>1.7199999999999998</v>
          </cell>
        </row>
        <row r="70">
          <cell r="A70">
            <v>20511</v>
          </cell>
          <cell r="B70" t="str">
            <v>N.T.R</v>
          </cell>
          <cell r="C70" t="str">
            <v>Jaggayyapeta</v>
          </cell>
          <cell r="D70" t="str">
            <v>Budawada</v>
          </cell>
          <cell r="E70" t="str">
            <v>MPP school</v>
          </cell>
          <cell r="M70">
            <v>4.42</v>
          </cell>
          <cell r="N70">
            <v>2.9299999999999997</v>
          </cell>
        </row>
        <row r="71">
          <cell r="A71">
            <v>20517</v>
          </cell>
          <cell r="B71" t="str">
            <v>N.T.R</v>
          </cell>
          <cell r="C71" t="str">
            <v>Kanchikacherla</v>
          </cell>
          <cell r="D71" t="str">
            <v>Kanchikacherla</v>
          </cell>
          <cell r="E71" t="str">
            <v>33/11 KV substation</v>
          </cell>
          <cell r="M71">
            <v>4.63</v>
          </cell>
          <cell r="N71">
            <v>3.9000000000000004</v>
          </cell>
        </row>
        <row r="72">
          <cell r="A72">
            <v>20509</v>
          </cell>
          <cell r="B72" t="str">
            <v>N.T.R</v>
          </cell>
          <cell r="C72" t="str">
            <v>Ibrahimpatnam</v>
          </cell>
          <cell r="D72" t="str">
            <v>Kondapalli</v>
          </cell>
          <cell r="E72" t="str">
            <v>ZPHS girls high school</v>
          </cell>
          <cell r="M72">
            <v>3.89</v>
          </cell>
          <cell r="N72">
            <v>3.42</v>
          </cell>
        </row>
        <row r="73">
          <cell r="A73">
            <v>20556</v>
          </cell>
          <cell r="B73" t="str">
            <v>N.T.R</v>
          </cell>
          <cell r="C73" t="str">
            <v>Tiruvuru</v>
          </cell>
          <cell r="D73" t="str">
            <v>Laxmipuram</v>
          </cell>
          <cell r="E73" t="str">
            <v>33/11 KV sub station</v>
          </cell>
          <cell r="M73">
            <v>1.6</v>
          </cell>
          <cell r="N73">
            <v>0.8600000000000001</v>
          </cell>
        </row>
        <row r="74">
          <cell r="A74">
            <v>20531</v>
          </cell>
          <cell r="B74" t="str">
            <v>N.T.R</v>
          </cell>
          <cell r="C74" t="str">
            <v>Mylavaram</v>
          </cell>
          <cell r="D74" t="str">
            <v>Mylavaram</v>
          </cell>
          <cell r="E74" t="str">
            <v>MDO Office</v>
          </cell>
          <cell r="M74">
            <v>3.08</v>
          </cell>
          <cell r="N74">
            <v>3.35</v>
          </cell>
        </row>
        <row r="75">
          <cell r="A75">
            <v>21351</v>
          </cell>
          <cell r="B75" t="str">
            <v>N.T.R</v>
          </cell>
          <cell r="C75" t="str">
            <v>Nandigama</v>
          </cell>
          <cell r="D75" t="str">
            <v>Nandigama</v>
          </cell>
          <cell r="E75" t="str">
            <v>33/11 KV sub station</v>
          </cell>
          <cell r="M75">
            <v>3.44</v>
          </cell>
          <cell r="N75">
            <v>2.85</v>
          </cell>
        </row>
        <row r="76">
          <cell r="A76">
            <v>20496</v>
          </cell>
          <cell r="B76" t="str">
            <v>N.T.R</v>
          </cell>
          <cell r="C76" t="str">
            <v>Gampalagudem</v>
          </cell>
          <cell r="D76" t="str">
            <v>Nemali</v>
          </cell>
          <cell r="E76" t="str">
            <v>Panchayat raj guest house</v>
          </cell>
          <cell r="M76">
            <v>6.57</v>
          </cell>
          <cell r="N76">
            <v>5.16</v>
          </cell>
        </row>
        <row r="77">
          <cell r="A77">
            <v>20552</v>
          </cell>
          <cell r="B77" t="str">
            <v>N.T.R</v>
          </cell>
          <cell r="C77" t="str">
            <v>Penuganchiprolu</v>
          </cell>
          <cell r="D77" t="str">
            <v>Penuganchiprolu</v>
          </cell>
          <cell r="E77" t="str">
            <v>33/11 KV sub station</v>
          </cell>
          <cell r="M77">
            <v>7.62</v>
          </cell>
          <cell r="N77">
            <v>7.48</v>
          </cell>
        </row>
        <row r="78">
          <cell r="A78">
            <v>20532</v>
          </cell>
          <cell r="B78" t="str">
            <v>N.T.R</v>
          </cell>
          <cell r="C78" t="str">
            <v>Mylavaram</v>
          </cell>
          <cell r="D78" t="str">
            <v>Pulluru</v>
          </cell>
          <cell r="E78" t="str">
            <v>33/11 KV sub station</v>
          </cell>
          <cell r="M78">
            <v>3.95</v>
          </cell>
          <cell r="N78">
            <v>1.6600000000000001</v>
          </cell>
        </row>
        <row r="79">
          <cell r="A79">
            <v>20575</v>
          </cell>
          <cell r="B79" t="str">
            <v>N.T.R</v>
          </cell>
          <cell r="C79" t="str">
            <v>Vissannapeta</v>
          </cell>
          <cell r="D79" t="str">
            <v>Putrela</v>
          </cell>
          <cell r="E79" t="str">
            <v>ZPHS</v>
          </cell>
          <cell r="M79">
            <v>4.57</v>
          </cell>
          <cell r="N79">
            <v>4.38</v>
          </cell>
        </row>
        <row r="80">
          <cell r="A80">
            <v>20576</v>
          </cell>
          <cell r="B80" t="str">
            <v>N.T.R</v>
          </cell>
          <cell r="C80" t="str">
            <v>Vissannapeta</v>
          </cell>
          <cell r="D80" t="str">
            <v>Tatakuntla</v>
          </cell>
          <cell r="E80" t="str">
            <v>Panchayat office</v>
          </cell>
          <cell r="M80">
            <v>8.99999999999999E-2</v>
          </cell>
          <cell r="N80">
            <v>0.55000000000000004</v>
          </cell>
        </row>
        <row r="81">
          <cell r="A81">
            <v>20563</v>
          </cell>
          <cell r="B81" t="str">
            <v>N.T.R</v>
          </cell>
          <cell r="C81" t="str">
            <v>Vatsavai</v>
          </cell>
          <cell r="D81" t="str">
            <v>Vatsavai</v>
          </cell>
          <cell r="E81" t="str">
            <v>Cooperative Society</v>
          </cell>
          <cell r="M81">
            <v>1.89</v>
          </cell>
          <cell r="N81">
            <v>1.54</v>
          </cell>
        </row>
        <row r="82">
          <cell r="A82">
            <v>20566</v>
          </cell>
          <cell r="B82" t="str">
            <v>N.T.R</v>
          </cell>
          <cell r="C82" t="str">
            <v>Veerullapadu</v>
          </cell>
          <cell r="D82" t="str">
            <v>Veerullapadu</v>
          </cell>
          <cell r="E82" t="str">
            <v>Panchayat office</v>
          </cell>
          <cell r="M82">
            <v>0.83</v>
          </cell>
          <cell r="N82">
            <v>0.86999999999999988</v>
          </cell>
        </row>
        <row r="83">
          <cell r="A83">
            <v>20493</v>
          </cell>
          <cell r="B83" t="str">
            <v>N.T.R</v>
          </cell>
          <cell r="C83" t="str">
            <v>G.Konduru</v>
          </cell>
          <cell r="D83" t="str">
            <v>Velagaleru</v>
          </cell>
          <cell r="E83" t="str">
            <v>ZPHS</v>
          </cell>
          <cell r="M83">
            <v>3.1</v>
          </cell>
          <cell r="N83">
            <v>4.04</v>
          </cell>
        </row>
        <row r="84">
          <cell r="A84">
            <v>20569</v>
          </cell>
          <cell r="B84" t="str">
            <v>N.T.R</v>
          </cell>
          <cell r="C84" t="str">
            <v>Vijayawada(U)</v>
          </cell>
          <cell r="D84" t="str">
            <v>AJS Nagar</v>
          </cell>
          <cell r="E84" t="str">
            <v>33/11 KV sub station</v>
          </cell>
          <cell r="M84">
            <v>5.47</v>
          </cell>
          <cell r="N84">
            <v>5.42</v>
          </cell>
        </row>
        <row r="85">
          <cell r="A85">
            <v>20570</v>
          </cell>
          <cell r="B85" t="str">
            <v>N.T.R</v>
          </cell>
          <cell r="C85" t="str">
            <v>Vijayawada(U)</v>
          </cell>
          <cell r="D85" t="str">
            <v>Vijayawada</v>
          </cell>
          <cell r="E85" t="str">
            <v>Sub collector office</v>
          </cell>
          <cell r="M85">
            <v>2.57</v>
          </cell>
          <cell r="N85">
            <v>2.57</v>
          </cell>
        </row>
        <row r="86">
          <cell r="A86">
            <v>20557</v>
          </cell>
          <cell r="B86" t="str">
            <v>N.T.R</v>
          </cell>
          <cell r="C86" t="str">
            <v>Tiruvuru</v>
          </cell>
          <cell r="D86" t="str">
            <v>Akkapalem</v>
          </cell>
          <cell r="E86" t="str">
            <v>ZPHS</v>
          </cell>
          <cell r="M86">
            <v>2.44</v>
          </cell>
          <cell r="N86">
            <v>2.71</v>
          </cell>
        </row>
        <row r="87">
          <cell r="A87">
            <v>20567</v>
          </cell>
          <cell r="B87" t="str">
            <v>N.T.R</v>
          </cell>
          <cell r="C87" t="str">
            <v>Veerullapadu</v>
          </cell>
          <cell r="D87" t="str">
            <v>Alluru</v>
          </cell>
          <cell r="E87" t="str">
            <v>ZPHS</v>
          </cell>
          <cell r="M87">
            <v>1</v>
          </cell>
          <cell r="N87">
            <v>1.04</v>
          </cell>
        </row>
        <row r="88">
          <cell r="A88">
            <v>20512</v>
          </cell>
          <cell r="B88" t="str">
            <v>N.T.R</v>
          </cell>
          <cell r="C88" t="str">
            <v>Jaggayyapeta</v>
          </cell>
          <cell r="D88" t="str">
            <v>Bandipalem</v>
          </cell>
          <cell r="E88" t="str">
            <v>MPUP</v>
          </cell>
          <cell r="M88">
            <v>3.29</v>
          </cell>
          <cell r="N88">
            <v>1.6700000000000002</v>
          </cell>
        </row>
        <row r="89">
          <cell r="A89">
            <v>20533</v>
          </cell>
          <cell r="B89" t="str">
            <v>N.T.R</v>
          </cell>
          <cell r="C89" t="str">
            <v>Mylavaram</v>
          </cell>
          <cell r="D89" t="str">
            <v>Chandrala</v>
          </cell>
          <cell r="E89" t="str">
            <v>ZPHS</v>
          </cell>
          <cell r="M89">
            <v>11.28</v>
          </cell>
          <cell r="N89">
            <v>11.15</v>
          </cell>
        </row>
        <row r="90">
          <cell r="A90">
            <v>20487</v>
          </cell>
          <cell r="B90" t="str">
            <v>N.T.R</v>
          </cell>
          <cell r="C90" t="str">
            <v>Chandarlapadu</v>
          </cell>
          <cell r="D90" t="str">
            <v>Chintalapadu</v>
          </cell>
          <cell r="E90" t="str">
            <v>ZPHS</v>
          </cell>
          <cell r="M90">
            <v>5.77</v>
          </cell>
          <cell r="N90">
            <v>4.92</v>
          </cell>
        </row>
        <row r="91">
          <cell r="A91">
            <v>20571</v>
          </cell>
          <cell r="B91" t="str">
            <v>N.T.R</v>
          </cell>
          <cell r="C91" t="str">
            <v>Vijayawada(R)</v>
          </cell>
          <cell r="D91" t="str">
            <v>Enikepadu</v>
          </cell>
          <cell r="E91" t="str">
            <v>33/11 KV sub station</v>
          </cell>
          <cell r="M91">
            <v>0.53</v>
          </cell>
          <cell r="N91">
            <v>0.99</v>
          </cell>
        </row>
        <row r="92">
          <cell r="A92">
            <v>20494</v>
          </cell>
          <cell r="B92" t="str">
            <v>N.T.R</v>
          </cell>
          <cell r="C92" t="str">
            <v>G.Konduru</v>
          </cell>
          <cell r="D92" t="str">
            <v>G.Konduru</v>
          </cell>
          <cell r="E92" t="str">
            <v>33/11 KV sub station</v>
          </cell>
          <cell r="M92">
            <v>2.69</v>
          </cell>
          <cell r="N92">
            <v>2.62</v>
          </cell>
        </row>
        <row r="93">
          <cell r="A93">
            <v>20513</v>
          </cell>
          <cell r="B93" t="str">
            <v>N.T.R</v>
          </cell>
          <cell r="C93" t="str">
            <v>Jaggayyapeta</v>
          </cell>
          <cell r="D93" t="str">
            <v>Gandrai</v>
          </cell>
          <cell r="E93" t="str">
            <v>ZPHS</v>
          </cell>
          <cell r="M93">
            <v>10.57</v>
          </cell>
          <cell r="N93">
            <v>11.99</v>
          </cell>
        </row>
        <row r="94">
          <cell r="A94">
            <v>20574</v>
          </cell>
          <cell r="B94" t="str">
            <v>N.T.R</v>
          </cell>
          <cell r="C94" t="str">
            <v>Vijayawada(R)</v>
          </cell>
          <cell r="D94" t="str">
            <v>Gollapudi</v>
          </cell>
          <cell r="E94" t="str">
            <v>DWMA office</v>
          </cell>
          <cell r="M94">
            <v>11.62</v>
          </cell>
          <cell r="N94">
            <v>11.43</v>
          </cell>
        </row>
        <row r="95">
          <cell r="A95">
            <v>20497</v>
          </cell>
          <cell r="B95" t="str">
            <v>N.T.R</v>
          </cell>
          <cell r="C95" t="str">
            <v>Gampalagudem</v>
          </cell>
          <cell r="D95" t="str">
            <v>Gosaveedu</v>
          </cell>
          <cell r="E95" t="str">
            <v>MPP School</v>
          </cell>
          <cell r="M95">
            <v>3.76</v>
          </cell>
          <cell r="N95">
            <v>3.85</v>
          </cell>
        </row>
        <row r="96">
          <cell r="A96">
            <v>20572</v>
          </cell>
          <cell r="B96" t="str">
            <v>N.T.R</v>
          </cell>
          <cell r="C96" t="str">
            <v>Vijayawada(R)</v>
          </cell>
          <cell r="D96" t="str">
            <v>Gudavalli</v>
          </cell>
          <cell r="E96" t="str">
            <v>33/11 KV sub station</v>
          </cell>
          <cell r="M96">
            <v>6.47</v>
          </cell>
          <cell r="N96">
            <v>5.73</v>
          </cell>
        </row>
        <row r="97">
          <cell r="A97">
            <v>20483</v>
          </cell>
          <cell r="B97" t="str">
            <v>N.T.R</v>
          </cell>
          <cell r="C97" t="str">
            <v>Jaggayyapeta</v>
          </cell>
          <cell r="D97" t="str">
            <v>Chillakallu</v>
          </cell>
          <cell r="E97" t="str">
            <v>33/11 KV sub station</v>
          </cell>
          <cell r="M97">
            <v>10.41</v>
          </cell>
          <cell r="N97">
            <v>8.8000000000000007</v>
          </cell>
        </row>
        <row r="98">
          <cell r="A98">
            <v>20535</v>
          </cell>
          <cell r="B98" t="str">
            <v>N.T.R</v>
          </cell>
          <cell r="C98" t="str">
            <v>Nandigama</v>
          </cell>
          <cell r="D98" t="str">
            <v>Jonnalagadda</v>
          </cell>
          <cell r="E98" t="str">
            <v>ZPHS</v>
          </cell>
          <cell r="M98">
            <v>8.66</v>
          </cell>
          <cell r="N98">
            <v>6.28</v>
          </cell>
        </row>
        <row r="99">
          <cell r="A99">
            <v>20510</v>
          </cell>
          <cell r="B99" t="str">
            <v>N.T.R</v>
          </cell>
          <cell r="C99" t="str">
            <v>Ibrahimpatnam</v>
          </cell>
          <cell r="D99" t="str">
            <v>Kachavaram</v>
          </cell>
          <cell r="E99" t="str">
            <v>33/11 KV sub station</v>
          </cell>
          <cell r="M99">
            <v>1.03</v>
          </cell>
          <cell r="N99">
            <v>1.9</v>
          </cell>
        </row>
        <row r="100">
          <cell r="A100">
            <v>20488</v>
          </cell>
          <cell r="B100" t="str">
            <v>N.T.R</v>
          </cell>
          <cell r="C100" t="str">
            <v>Chandarlapadu</v>
          </cell>
          <cell r="D100" t="str">
            <v>Lakshmipuram</v>
          </cell>
          <cell r="E100" t="str">
            <v>MPUP</v>
          </cell>
          <cell r="M100">
            <v>6.69</v>
          </cell>
          <cell r="N100">
            <v>6.3</v>
          </cell>
        </row>
        <row r="101">
          <cell r="A101">
            <v>20489</v>
          </cell>
          <cell r="B101" t="str">
            <v>N.T.R</v>
          </cell>
          <cell r="C101" t="str">
            <v>Chandarlapadu</v>
          </cell>
          <cell r="D101" t="str">
            <v>Munagalapalli</v>
          </cell>
          <cell r="E101" t="str">
            <v>MPP school</v>
          </cell>
          <cell r="M101">
            <v>7.43</v>
          </cell>
          <cell r="N101">
            <v>7.56</v>
          </cell>
        </row>
        <row r="102">
          <cell r="A102">
            <v>20553</v>
          </cell>
          <cell r="B102" t="str">
            <v>N.T.R</v>
          </cell>
          <cell r="C102" t="str">
            <v>Penuganchiprolu</v>
          </cell>
          <cell r="D102" t="str">
            <v>Nawabpeta</v>
          </cell>
          <cell r="E102" t="str">
            <v>Panchayat office</v>
          </cell>
          <cell r="M102">
            <v>4.6100000000000003</v>
          </cell>
          <cell r="N102">
            <v>10.18</v>
          </cell>
        </row>
        <row r="103">
          <cell r="A103">
            <v>20564</v>
          </cell>
          <cell r="B103" t="str">
            <v>N.T.R</v>
          </cell>
          <cell r="C103" t="str">
            <v>Vatsavai</v>
          </cell>
          <cell r="D103" t="str">
            <v>Polampalli</v>
          </cell>
          <cell r="E103" t="str">
            <v>ZPHS</v>
          </cell>
          <cell r="M103">
            <v>14.48</v>
          </cell>
          <cell r="N103">
            <v>13.18</v>
          </cell>
        </row>
        <row r="104">
          <cell r="A104">
            <v>20554</v>
          </cell>
          <cell r="B104" t="str">
            <v>N.T.R</v>
          </cell>
          <cell r="C104" t="str">
            <v>Reddigudem</v>
          </cell>
          <cell r="D104" t="str">
            <v>Rangapuram</v>
          </cell>
          <cell r="E104" t="str">
            <v>33/11 KV substation</v>
          </cell>
          <cell r="M104">
            <v>36.92</v>
          </cell>
          <cell r="N104">
            <v>22.61</v>
          </cell>
        </row>
        <row r="105">
          <cell r="A105">
            <v>20558</v>
          </cell>
          <cell r="B105" t="str">
            <v>N.T.R</v>
          </cell>
          <cell r="C105" t="str">
            <v>Tiruvuru</v>
          </cell>
          <cell r="D105" t="str">
            <v>Rolupadi</v>
          </cell>
          <cell r="E105" t="str">
            <v>MPP school</v>
          </cell>
          <cell r="M105">
            <v>5.22</v>
          </cell>
          <cell r="N105">
            <v>5.77</v>
          </cell>
        </row>
        <row r="106">
          <cell r="A106">
            <v>20536</v>
          </cell>
          <cell r="B106" t="str">
            <v>N.T.R</v>
          </cell>
          <cell r="C106" t="str">
            <v>Nandigama</v>
          </cell>
          <cell r="D106" t="str">
            <v>Rudravaram</v>
          </cell>
          <cell r="E106" t="str">
            <v>ZPHS</v>
          </cell>
          <cell r="M106">
            <v>1.32</v>
          </cell>
          <cell r="N106">
            <v>1.2999999999999998</v>
          </cell>
        </row>
        <row r="107">
          <cell r="A107">
            <v>20514</v>
          </cell>
          <cell r="B107" t="str">
            <v>N.T.R</v>
          </cell>
          <cell r="C107" t="str">
            <v>Jaggayyapeta</v>
          </cell>
          <cell r="D107" t="str">
            <v>Takkellapadu</v>
          </cell>
          <cell r="E107" t="str">
            <v>MPUP</v>
          </cell>
          <cell r="M107">
            <v>1.05</v>
          </cell>
          <cell r="N107">
            <v>0.88</v>
          </cell>
        </row>
        <row r="108">
          <cell r="A108">
            <v>20565</v>
          </cell>
          <cell r="B108" t="str">
            <v>N.T.R</v>
          </cell>
          <cell r="C108" t="str">
            <v>Vatsavai</v>
          </cell>
          <cell r="D108" t="str">
            <v>Talluru</v>
          </cell>
          <cell r="E108" t="str">
            <v>33/11 KV substation</v>
          </cell>
          <cell r="M108">
            <v>2.57</v>
          </cell>
          <cell r="N108">
            <v>6.03</v>
          </cell>
        </row>
        <row r="109">
          <cell r="A109">
            <v>20498</v>
          </cell>
          <cell r="B109" t="str">
            <v>N.T.R</v>
          </cell>
          <cell r="C109" t="str">
            <v>Gampalagudem</v>
          </cell>
          <cell r="D109" t="str">
            <v>Tunikipadu</v>
          </cell>
          <cell r="E109" t="str">
            <v>ZPHS</v>
          </cell>
          <cell r="M109">
            <v>0.31</v>
          </cell>
          <cell r="N109">
            <v>0.44000000000000006</v>
          </cell>
        </row>
        <row r="110">
          <cell r="A110">
            <v>20568</v>
          </cell>
          <cell r="B110" t="str">
            <v>N.T.R</v>
          </cell>
          <cell r="C110" t="str">
            <v>Veerullapadu</v>
          </cell>
          <cell r="D110" t="str">
            <v>Vellanki</v>
          </cell>
          <cell r="E110" t="str">
            <v>ZPHS</v>
          </cell>
          <cell r="M110">
            <v>0.68</v>
          </cell>
          <cell r="N110">
            <v>0.94</v>
          </cell>
        </row>
        <row r="111">
          <cell r="A111">
            <v>20577</v>
          </cell>
          <cell r="B111" t="str">
            <v>N.T.R</v>
          </cell>
          <cell r="C111" t="str">
            <v>Vissannapeta</v>
          </cell>
          <cell r="D111" t="str">
            <v>Vemireddypalli</v>
          </cell>
          <cell r="E111" t="str">
            <v>ZPHS</v>
          </cell>
          <cell r="M111">
            <v>0.18</v>
          </cell>
          <cell r="N111">
            <v>1.26</v>
          </cell>
        </row>
        <row r="112">
          <cell r="A112">
            <v>20499</v>
          </cell>
          <cell r="B112" t="str">
            <v>N.T.R</v>
          </cell>
          <cell r="C112" t="str">
            <v>Gampalagudem</v>
          </cell>
          <cell r="D112" t="str">
            <v>Vinagadapa</v>
          </cell>
          <cell r="E112" t="str">
            <v>MPP school</v>
          </cell>
          <cell r="M112">
            <v>1.6</v>
          </cell>
          <cell r="N112">
            <v>1.8399999999999999</v>
          </cell>
        </row>
        <row r="113">
          <cell r="A113">
            <v>20559</v>
          </cell>
          <cell r="B113" t="str">
            <v>N.T.R</v>
          </cell>
          <cell r="C113" t="str">
            <v>Tiruvuru</v>
          </cell>
          <cell r="D113" t="str">
            <v>Yerramadu</v>
          </cell>
          <cell r="E113" t="str">
            <v>MPP School</v>
          </cell>
          <cell r="M113">
            <v>5.51</v>
          </cell>
          <cell r="N113">
            <v>5.34</v>
          </cell>
        </row>
        <row r="114">
          <cell r="A114">
            <v>20573</v>
          </cell>
          <cell r="B114" t="str">
            <v>N.T.R</v>
          </cell>
          <cell r="C114" t="str">
            <v>Vijayawada(U)</v>
          </cell>
          <cell r="D114" t="str">
            <v>Patamatalanka</v>
          </cell>
          <cell r="E114" t="str">
            <v>SW Residential girls school</v>
          </cell>
          <cell r="M114">
            <v>7.02</v>
          </cell>
          <cell r="N114">
            <v>7.73</v>
          </cell>
        </row>
        <row r="115">
          <cell r="A115">
            <v>21257</v>
          </cell>
          <cell r="B115" t="str">
            <v>N.T.R</v>
          </cell>
          <cell r="C115" t="str">
            <v>Vijayawada(U)</v>
          </cell>
          <cell r="D115" t="str">
            <v>WRD Center</v>
          </cell>
          <cell r="E115" t="str">
            <v>WRD Center</v>
          </cell>
          <cell r="M115">
            <v>4.38</v>
          </cell>
          <cell r="N115">
            <v>4.51</v>
          </cell>
        </row>
        <row r="116">
          <cell r="A116">
            <v>50016</v>
          </cell>
          <cell r="B116" t="str">
            <v>N.T.R</v>
          </cell>
          <cell r="C116" t="str">
            <v>G.Konduru</v>
          </cell>
          <cell r="D116" t="str">
            <v>Koduru</v>
          </cell>
          <cell r="E116" t="str">
            <v>ZPHS</v>
          </cell>
          <cell r="M116">
            <v>0.25</v>
          </cell>
          <cell r="N116">
            <v>0.65</v>
          </cell>
        </row>
        <row r="117">
          <cell r="A117">
            <v>50017</v>
          </cell>
          <cell r="B117" t="str">
            <v>N.T.R</v>
          </cell>
          <cell r="C117" t="str">
            <v>G.Konduru</v>
          </cell>
          <cell r="D117" t="str">
            <v>Kuntamukkala</v>
          </cell>
          <cell r="E117" t="str">
            <v>Girls residential School</v>
          </cell>
          <cell r="M117">
            <v>1.4</v>
          </cell>
          <cell r="N117">
            <v>2.2000000000000002</v>
          </cell>
        </row>
        <row r="118">
          <cell r="A118">
            <v>50015</v>
          </cell>
          <cell r="B118" t="str">
            <v>N.T.R</v>
          </cell>
          <cell r="C118" t="str">
            <v>A.Konduru</v>
          </cell>
          <cell r="D118" t="str">
            <v>Vallampatla</v>
          </cell>
          <cell r="E118" t="str">
            <v>MPP School</v>
          </cell>
          <cell r="M118">
            <v>1.8</v>
          </cell>
          <cell r="N118">
            <v>3.75</v>
          </cell>
        </row>
        <row r="119">
          <cell r="A119">
            <v>50014</v>
          </cell>
          <cell r="B119" t="str">
            <v>N.T.R</v>
          </cell>
          <cell r="C119" t="str">
            <v>A.Konduru</v>
          </cell>
          <cell r="D119" t="str">
            <v>Cheemalapadu</v>
          </cell>
          <cell r="E119" t="str">
            <v>33/11 KV Sub station</v>
          </cell>
          <cell r="M119">
            <v>1.85</v>
          </cell>
          <cell r="N119">
            <v>2.4500000000000002</v>
          </cell>
        </row>
        <row r="120">
          <cell r="A120">
            <v>30421</v>
          </cell>
          <cell r="B120" t="str">
            <v>N.T.R</v>
          </cell>
          <cell r="C120" t="str">
            <v>A.Konduru</v>
          </cell>
          <cell r="D120" t="str">
            <v>Kotta Repudi</v>
          </cell>
          <cell r="E120" t="str">
            <v>MPP School</v>
          </cell>
          <cell r="M120">
            <v>4</v>
          </cell>
          <cell r="N120">
            <v>3.2</v>
          </cell>
        </row>
        <row r="121">
          <cell r="A121">
            <v>30149</v>
          </cell>
          <cell r="B121" t="str">
            <v>N.T.R</v>
          </cell>
          <cell r="C121" t="str">
            <v>Chandarlapadu</v>
          </cell>
          <cell r="D121" t="str">
            <v>Kasarabada</v>
          </cell>
          <cell r="E121" t="str">
            <v>MPP School</v>
          </cell>
          <cell r="M121">
            <v>3.9</v>
          </cell>
          <cell r="N121">
            <v>3.66</v>
          </cell>
        </row>
        <row r="122">
          <cell r="A122">
            <v>30150</v>
          </cell>
          <cell r="B122" t="str">
            <v>N.T.R</v>
          </cell>
          <cell r="C122" t="str">
            <v>Chandarlapadu</v>
          </cell>
          <cell r="D122" t="str">
            <v>Veladi Kothapalem</v>
          </cell>
          <cell r="E122" t="str">
            <v>ZPHS</v>
          </cell>
          <cell r="M122">
            <v>1.3</v>
          </cell>
          <cell r="N122">
            <v>1.61</v>
          </cell>
        </row>
        <row r="123">
          <cell r="A123">
            <v>30154</v>
          </cell>
          <cell r="B123" t="str">
            <v>N.T.R</v>
          </cell>
          <cell r="C123" t="str">
            <v>G.Konduru</v>
          </cell>
          <cell r="D123" t="str">
            <v>Munagapadu</v>
          </cell>
          <cell r="E123" t="str">
            <v>MPP School</v>
          </cell>
          <cell r="M123">
            <v>3.15</v>
          </cell>
          <cell r="N123">
            <v>3.63</v>
          </cell>
        </row>
        <row r="124">
          <cell r="A124">
            <v>30115</v>
          </cell>
          <cell r="B124" t="str">
            <v>N.T.R</v>
          </cell>
          <cell r="C124" t="str">
            <v>Gampalagudem</v>
          </cell>
          <cell r="D124" t="str">
            <v>Utukuru</v>
          </cell>
          <cell r="E124" t="str">
            <v>33/11 KV Sub station</v>
          </cell>
          <cell r="M124">
            <v>0</v>
          </cell>
          <cell r="N124">
            <v>1.05</v>
          </cell>
        </row>
        <row r="125">
          <cell r="A125">
            <v>30157</v>
          </cell>
          <cell r="B125" t="str">
            <v>N.T.R</v>
          </cell>
          <cell r="C125" t="str">
            <v>Ibrahimpatnam</v>
          </cell>
          <cell r="D125" t="str">
            <v>Jupudi</v>
          </cell>
          <cell r="E125" t="str">
            <v>MPP School</v>
          </cell>
          <cell r="M125">
            <v>0.2</v>
          </cell>
          <cell r="N125">
            <v>2.1</v>
          </cell>
        </row>
        <row r="126">
          <cell r="A126">
            <v>30158</v>
          </cell>
          <cell r="B126" t="str">
            <v>N.T.R</v>
          </cell>
          <cell r="C126" t="str">
            <v>Jaggayyapeta</v>
          </cell>
          <cell r="D126" t="str">
            <v>K. Agraharam</v>
          </cell>
          <cell r="E126" t="str">
            <v>MPP School</v>
          </cell>
          <cell r="M126">
            <v>10.08</v>
          </cell>
          <cell r="N126">
            <v>9.99</v>
          </cell>
        </row>
        <row r="127">
          <cell r="A127">
            <v>50018</v>
          </cell>
          <cell r="B127" t="str">
            <v>N.T.R</v>
          </cell>
          <cell r="C127" t="str">
            <v>Jaggayyapeta</v>
          </cell>
          <cell r="D127" t="str">
            <v>SM peta</v>
          </cell>
          <cell r="E127" t="str">
            <v>ZPHS</v>
          </cell>
          <cell r="M127">
            <v>7.02</v>
          </cell>
          <cell r="N127">
            <v>7.73</v>
          </cell>
        </row>
        <row r="128">
          <cell r="A128">
            <v>30160</v>
          </cell>
          <cell r="B128" t="str">
            <v>N.T.R</v>
          </cell>
          <cell r="C128" t="str">
            <v>Kanchikacherla</v>
          </cell>
          <cell r="D128" t="str">
            <v>Paritala</v>
          </cell>
          <cell r="E128" t="str">
            <v>Panchayat office</v>
          </cell>
          <cell r="M128">
            <v>2.73</v>
          </cell>
          <cell r="N128">
            <v>1.7</v>
          </cell>
        </row>
        <row r="129">
          <cell r="A129">
            <v>30161</v>
          </cell>
          <cell r="B129" t="str">
            <v>N.T.R</v>
          </cell>
          <cell r="C129" t="str">
            <v>Kanchikacherla</v>
          </cell>
          <cell r="D129" t="str">
            <v>Pendyala</v>
          </cell>
          <cell r="E129" t="str">
            <v>ZPHS</v>
          </cell>
          <cell r="M129">
            <v>1.9</v>
          </cell>
          <cell r="N129">
            <v>2.21</v>
          </cell>
        </row>
        <row r="130">
          <cell r="A130">
            <v>30165</v>
          </cell>
          <cell r="B130" t="str">
            <v>N.T.R</v>
          </cell>
          <cell r="C130" t="str">
            <v>Penuganchiprolu</v>
          </cell>
          <cell r="D130" t="str">
            <v>Anigallapadu</v>
          </cell>
          <cell r="E130" t="str">
            <v xml:space="preserve"> ZPHS</v>
          </cell>
          <cell r="M130">
            <v>0.8</v>
          </cell>
          <cell r="N130">
            <v>2.09</v>
          </cell>
        </row>
        <row r="131">
          <cell r="A131">
            <v>30166</v>
          </cell>
          <cell r="B131" t="str">
            <v>N.T.R</v>
          </cell>
          <cell r="C131" t="str">
            <v>Reddigudem</v>
          </cell>
          <cell r="D131" t="str">
            <v>Maddulaparva</v>
          </cell>
          <cell r="E131" t="str">
            <v>Girls residential college</v>
          </cell>
          <cell r="M131">
            <v>9.1999999999999993</v>
          </cell>
          <cell r="N131">
            <v>7.2</v>
          </cell>
        </row>
        <row r="132">
          <cell r="A132">
            <v>30167</v>
          </cell>
          <cell r="B132" t="str">
            <v>N.T.R</v>
          </cell>
          <cell r="C132" t="str">
            <v>Tiruvuru</v>
          </cell>
          <cell r="D132" t="str">
            <v>Tiruvuru</v>
          </cell>
          <cell r="E132" t="str">
            <v xml:space="preserve"> ZPHS</v>
          </cell>
          <cell r="M132">
            <v>1.4</v>
          </cell>
          <cell r="N132">
            <v>2.5499999999999998</v>
          </cell>
        </row>
        <row r="133">
          <cell r="A133">
            <v>30168</v>
          </cell>
          <cell r="B133" t="str">
            <v>N.T.R</v>
          </cell>
          <cell r="C133" t="str">
            <v>Tiruvuru</v>
          </cell>
          <cell r="D133" t="str">
            <v>Vavilala</v>
          </cell>
          <cell r="E133" t="str">
            <v>MPP School</v>
          </cell>
          <cell r="M133">
            <v>5.0999999999999996</v>
          </cell>
          <cell r="N133">
            <v>6.47</v>
          </cell>
        </row>
        <row r="134">
          <cell r="A134">
            <v>30169</v>
          </cell>
          <cell r="B134" t="str">
            <v>N.T.R</v>
          </cell>
          <cell r="C134" t="str">
            <v>Vatsavai</v>
          </cell>
          <cell r="D134" t="str">
            <v>Kanneveedu</v>
          </cell>
          <cell r="E134" t="str">
            <v xml:space="preserve"> ZPHS</v>
          </cell>
          <cell r="M134">
            <v>1.73</v>
          </cell>
          <cell r="N134">
            <v>3.26</v>
          </cell>
        </row>
        <row r="135">
          <cell r="A135">
            <v>30170</v>
          </cell>
          <cell r="B135" t="str">
            <v>N.T.R</v>
          </cell>
          <cell r="C135" t="str">
            <v>Veerullapadu</v>
          </cell>
          <cell r="D135" t="str">
            <v>Ponnavaram</v>
          </cell>
          <cell r="E135" t="str">
            <v>MPP School</v>
          </cell>
          <cell r="M135">
            <v>1.55</v>
          </cell>
          <cell r="N135">
            <v>2.6</v>
          </cell>
        </row>
        <row r="136">
          <cell r="A136">
            <v>30171</v>
          </cell>
          <cell r="B136" t="str">
            <v>N.T.R</v>
          </cell>
          <cell r="C136" t="str">
            <v>Vijayawada(R)</v>
          </cell>
          <cell r="D136" t="str">
            <v>Nunna</v>
          </cell>
          <cell r="E136" t="str">
            <v>MPP School</v>
          </cell>
          <cell r="M136">
            <v>17.8</v>
          </cell>
          <cell r="N136">
            <v>15.2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V139"/>
  <sheetViews>
    <sheetView tabSelected="1" zoomScale="60" zoomScaleNormal="60" workbookViewId="0">
      <selection activeCell="P32" sqref="P32"/>
    </sheetView>
  </sheetViews>
  <sheetFormatPr defaultRowHeight="15" x14ac:dyDescent="0.25"/>
  <cols>
    <col min="3" max="3" width="10.28515625" customWidth="1"/>
    <col min="4" max="4" width="14.42578125" customWidth="1"/>
    <col min="5" max="5" width="14" customWidth="1"/>
    <col min="6" max="6" width="25.140625" bestFit="1" customWidth="1"/>
    <col min="11" max="12" width="13" customWidth="1"/>
    <col min="13" max="350" width="9.140625" customWidth="1"/>
  </cols>
  <sheetData>
    <row r="1" spans="1:360" s="7" customFormat="1" ht="60.75" customHeight="1" x14ac:dyDescent="0.25">
      <c r="A1" s="2" t="s">
        <v>10</v>
      </c>
      <c r="B1" s="2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2" t="s">
        <v>17</v>
      </c>
      <c r="I1" s="2" t="s">
        <v>18</v>
      </c>
      <c r="J1" s="3" t="s">
        <v>19</v>
      </c>
      <c r="K1" s="4" t="s">
        <v>215</v>
      </c>
      <c r="L1" s="4" t="s">
        <v>216</v>
      </c>
      <c r="M1" s="5">
        <v>35431</v>
      </c>
      <c r="N1" s="5">
        <v>35462</v>
      </c>
      <c r="O1" s="5">
        <v>35490</v>
      </c>
      <c r="P1" s="5">
        <v>35521</v>
      </c>
      <c r="Q1" s="5">
        <v>35551</v>
      </c>
      <c r="R1" s="5">
        <v>35582</v>
      </c>
      <c r="S1" s="5">
        <v>35612</v>
      </c>
      <c r="T1" s="5">
        <v>35643</v>
      </c>
      <c r="U1" s="5">
        <v>35674</v>
      </c>
      <c r="V1" s="5">
        <v>35704</v>
      </c>
      <c r="W1" s="5">
        <v>35735</v>
      </c>
      <c r="X1" s="5">
        <v>35765</v>
      </c>
      <c r="Y1" s="5">
        <v>35796</v>
      </c>
      <c r="Z1" s="5">
        <v>35827</v>
      </c>
      <c r="AA1" s="5">
        <v>35855</v>
      </c>
      <c r="AB1" s="5">
        <v>35886</v>
      </c>
      <c r="AC1" s="5">
        <v>35916</v>
      </c>
      <c r="AD1" s="5">
        <v>35947</v>
      </c>
      <c r="AE1" s="5">
        <v>35977</v>
      </c>
      <c r="AF1" s="5">
        <v>36008</v>
      </c>
      <c r="AG1" s="5">
        <v>36039</v>
      </c>
      <c r="AH1" s="5">
        <v>36069</v>
      </c>
      <c r="AI1" s="5">
        <v>36100</v>
      </c>
      <c r="AJ1" s="5">
        <v>36130</v>
      </c>
      <c r="AK1" s="5">
        <v>36161</v>
      </c>
      <c r="AL1" s="5">
        <v>36192</v>
      </c>
      <c r="AM1" s="5">
        <v>36220</v>
      </c>
      <c r="AN1" s="5">
        <v>36251</v>
      </c>
      <c r="AO1" s="5">
        <v>36281</v>
      </c>
      <c r="AP1" s="5">
        <v>36312</v>
      </c>
      <c r="AQ1" s="5">
        <v>36342</v>
      </c>
      <c r="AR1" s="5">
        <v>36373</v>
      </c>
      <c r="AS1" s="5">
        <v>36404</v>
      </c>
      <c r="AT1" s="5">
        <v>36434</v>
      </c>
      <c r="AU1" s="5">
        <v>36465</v>
      </c>
      <c r="AV1" s="5">
        <v>36495</v>
      </c>
      <c r="AW1" s="5">
        <v>36526</v>
      </c>
      <c r="AX1" s="5">
        <v>36557</v>
      </c>
      <c r="AY1" s="5">
        <v>36586</v>
      </c>
      <c r="AZ1" s="5">
        <v>36617</v>
      </c>
      <c r="BA1" s="5">
        <v>36647</v>
      </c>
      <c r="BB1" s="5">
        <v>36678</v>
      </c>
      <c r="BC1" s="5">
        <v>36708</v>
      </c>
      <c r="BD1" s="5">
        <v>36739</v>
      </c>
      <c r="BE1" s="5">
        <v>36770</v>
      </c>
      <c r="BF1" s="5">
        <v>36800</v>
      </c>
      <c r="BG1" s="5">
        <v>36831</v>
      </c>
      <c r="BH1" s="5">
        <v>36861</v>
      </c>
      <c r="BI1" s="5">
        <v>36892</v>
      </c>
      <c r="BJ1" s="5">
        <v>36923</v>
      </c>
      <c r="BK1" s="5">
        <v>36951</v>
      </c>
      <c r="BL1" s="5">
        <v>36982</v>
      </c>
      <c r="BM1" s="5">
        <v>37012</v>
      </c>
      <c r="BN1" s="5">
        <v>37043</v>
      </c>
      <c r="BO1" s="5">
        <v>37073</v>
      </c>
      <c r="BP1" s="5">
        <v>37104</v>
      </c>
      <c r="BQ1" s="5">
        <v>37135</v>
      </c>
      <c r="BR1" s="5">
        <v>37165</v>
      </c>
      <c r="BS1" s="5">
        <v>37196</v>
      </c>
      <c r="BT1" s="5">
        <v>37226</v>
      </c>
      <c r="BU1" s="5">
        <v>37257</v>
      </c>
      <c r="BV1" s="5">
        <v>37288</v>
      </c>
      <c r="BW1" s="5">
        <v>37316</v>
      </c>
      <c r="BX1" s="5">
        <v>37347</v>
      </c>
      <c r="BY1" s="5">
        <v>37377</v>
      </c>
      <c r="BZ1" s="5">
        <v>37408</v>
      </c>
      <c r="CA1" s="5">
        <v>37438</v>
      </c>
      <c r="CB1" s="5">
        <v>37469</v>
      </c>
      <c r="CC1" s="5">
        <v>37500</v>
      </c>
      <c r="CD1" s="5">
        <v>37530</v>
      </c>
      <c r="CE1" s="5">
        <v>37561</v>
      </c>
      <c r="CF1" s="5">
        <v>37591</v>
      </c>
      <c r="CG1" s="5">
        <v>37622</v>
      </c>
      <c r="CH1" s="5">
        <v>37653</v>
      </c>
      <c r="CI1" s="5">
        <v>37681</v>
      </c>
      <c r="CJ1" s="5">
        <v>37712</v>
      </c>
      <c r="CK1" s="5">
        <v>37742</v>
      </c>
      <c r="CL1" s="5">
        <v>37773</v>
      </c>
      <c r="CM1" s="5">
        <v>37803</v>
      </c>
      <c r="CN1" s="5">
        <v>37834</v>
      </c>
      <c r="CO1" s="5">
        <v>37865</v>
      </c>
      <c r="CP1" s="5">
        <v>37895</v>
      </c>
      <c r="CQ1" s="5">
        <v>37926</v>
      </c>
      <c r="CR1" s="5">
        <v>37956</v>
      </c>
      <c r="CS1" s="5">
        <v>37987</v>
      </c>
      <c r="CT1" s="5">
        <v>38018</v>
      </c>
      <c r="CU1" s="5">
        <v>38047</v>
      </c>
      <c r="CV1" s="5">
        <v>38078</v>
      </c>
      <c r="CW1" s="5">
        <v>38108</v>
      </c>
      <c r="CX1" s="5">
        <v>38139</v>
      </c>
      <c r="CY1" s="5">
        <v>38169</v>
      </c>
      <c r="CZ1" s="5">
        <v>38200</v>
      </c>
      <c r="DA1" s="5">
        <v>38231</v>
      </c>
      <c r="DB1" s="5">
        <v>38261</v>
      </c>
      <c r="DC1" s="5">
        <v>38292</v>
      </c>
      <c r="DD1" s="5">
        <v>38322</v>
      </c>
      <c r="DE1" s="5">
        <v>38353</v>
      </c>
      <c r="DF1" s="5">
        <v>38384</v>
      </c>
      <c r="DG1" s="5">
        <v>38412</v>
      </c>
      <c r="DH1" s="5">
        <v>38443</v>
      </c>
      <c r="DI1" s="5">
        <v>38473</v>
      </c>
      <c r="DJ1" s="5">
        <v>38504</v>
      </c>
      <c r="DK1" s="5">
        <v>38534</v>
      </c>
      <c r="DL1" s="5">
        <v>38565</v>
      </c>
      <c r="DM1" s="5">
        <v>38596</v>
      </c>
      <c r="DN1" s="5">
        <v>38626</v>
      </c>
      <c r="DO1" s="5">
        <v>38657</v>
      </c>
      <c r="DP1" s="5">
        <v>38687</v>
      </c>
      <c r="DQ1" s="5">
        <v>38718</v>
      </c>
      <c r="DR1" s="5">
        <v>38749</v>
      </c>
      <c r="DS1" s="5">
        <v>38777</v>
      </c>
      <c r="DT1" s="5">
        <v>38808</v>
      </c>
      <c r="DU1" s="5">
        <v>38838</v>
      </c>
      <c r="DV1" s="5">
        <v>38869</v>
      </c>
      <c r="DW1" s="5">
        <v>38899</v>
      </c>
      <c r="DX1" s="5">
        <v>38930</v>
      </c>
      <c r="DY1" s="5">
        <v>38961</v>
      </c>
      <c r="DZ1" s="5">
        <v>38991</v>
      </c>
      <c r="EA1" s="5">
        <v>39022</v>
      </c>
      <c r="EB1" s="5">
        <v>39052</v>
      </c>
      <c r="EC1" s="5">
        <v>39083</v>
      </c>
      <c r="ED1" s="5">
        <v>39114</v>
      </c>
      <c r="EE1" s="5">
        <v>39142</v>
      </c>
      <c r="EF1" s="5">
        <v>39173</v>
      </c>
      <c r="EG1" s="5">
        <v>39203</v>
      </c>
      <c r="EH1" s="5">
        <v>39234</v>
      </c>
      <c r="EI1" s="5">
        <v>39264</v>
      </c>
      <c r="EJ1" s="5">
        <v>39295</v>
      </c>
      <c r="EK1" s="5">
        <v>39326</v>
      </c>
      <c r="EL1" s="5">
        <v>39356</v>
      </c>
      <c r="EM1" s="5">
        <v>39387</v>
      </c>
      <c r="EN1" s="5">
        <v>39417</v>
      </c>
      <c r="EO1" s="5">
        <v>39448</v>
      </c>
      <c r="EP1" s="5">
        <v>39479</v>
      </c>
      <c r="EQ1" s="5">
        <v>39508</v>
      </c>
      <c r="ER1" s="5">
        <v>39539</v>
      </c>
      <c r="ES1" s="5">
        <v>39569</v>
      </c>
      <c r="ET1" s="5">
        <v>39600</v>
      </c>
      <c r="EU1" s="5">
        <v>39630</v>
      </c>
      <c r="EV1" s="5">
        <v>39661</v>
      </c>
      <c r="EW1" s="5">
        <v>39692</v>
      </c>
      <c r="EX1" s="5">
        <v>39722</v>
      </c>
      <c r="EY1" s="5">
        <v>39753</v>
      </c>
      <c r="EZ1" s="5">
        <v>39783</v>
      </c>
      <c r="FA1" s="5">
        <v>39814</v>
      </c>
      <c r="FB1" s="5">
        <v>39845</v>
      </c>
      <c r="FC1" s="5">
        <v>39873</v>
      </c>
      <c r="FD1" s="5">
        <v>39904</v>
      </c>
      <c r="FE1" s="5">
        <v>39934</v>
      </c>
      <c r="FF1" s="5">
        <v>39965</v>
      </c>
      <c r="FG1" s="5">
        <v>39995</v>
      </c>
      <c r="FH1" s="5">
        <v>40026</v>
      </c>
      <c r="FI1" s="5">
        <v>40057</v>
      </c>
      <c r="FJ1" s="5">
        <v>40087</v>
      </c>
      <c r="FK1" s="5">
        <v>40118</v>
      </c>
      <c r="FL1" s="5">
        <v>40148</v>
      </c>
      <c r="FM1" s="5">
        <v>40179</v>
      </c>
      <c r="FN1" s="5">
        <v>40210</v>
      </c>
      <c r="FO1" s="5">
        <v>40238</v>
      </c>
      <c r="FP1" s="5">
        <v>40269</v>
      </c>
      <c r="FQ1" s="5">
        <v>40299</v>
      </c>
      <c r="FR1" s="5">
        <v>40330</v>
      </c>
      <c r="FS1" s="5">
        <v>40360</v>
      </c>
      <c r="FT1" s="5">
        <v>40391</v>
      </c>
      <c r="FU1" s="5">
        <v>40422</v>
      </c>
      <c r="FV1" s="5">
        <v>40452</v>
      </c>
      <c r="FW1" s="5">
        <v>40483</v>
      </c>
      <c r="FX1" s="5">
        <v>40513</v>
      </c>
      <c r="FY1" s="5">
        <v>40544</v>
      </c>
      <c r="FZ1" s="5">
        <v>40575</v>
      </c>
      <c r="GA1" s="5">
        <v>40603</v>
      </c>
      <c r="GB1" s="5">
        <v>40634</v>
      </c>
      <c r="GC1" s="5">
        <v>40664</v>
      </c>
      <c r="GD1" s="5">
        <v>40695</v>
      </c>
      <c r="GE1" s="5">
        <v>40725</v>
      </c>
      <c r="GF1" s="5">
        <v>40756</v>
      </c>
      <c r="GG1" s="5">
        <v>40787</v>
      </c>
      <c r="GH1" s="5">
        <v>40817</v>
      </c>
      <c r="GI1" s="5">
        <v>40848</v>
      </c>
      <c r="GJ1" s="5">
        <v>40878</v>
      </c>
      <c r="GK1" s="5">
        <v>40909</v>
      </c>
      <c r="GL1" s="5">
        <v>40940</v>
      </c>
      <c r="GM1" s="5">
        <v>40969</v>
      </c>
      <c r="GN1" s="5">
        <v>41000</v>
      </c>
      <c r="GO1" s="5">
        <v>41030</v>
      </c>
      <c r="GP1" s="5">
        <v>41061</v>
      </c>
      <c r="GQ1" s="5">
        <v>41091</v>
      </c>
      <c r="GR1" s="5">
        <v>41122</v>
      </c>
      <c r="GS1" s="5">
        <v>41153</v>
      </c>
      <c r="GT1" s="5">
        <v>41183</v>
      </c>
      <c r="GU1" s="5">
        <v>41214</v>
      </c>
      <c r="GV1" s="5">
        <v>41244</v>
      </c>
      <c r="GW1" s="5">
        <v>41275</v>
      </c>
      <c r="GX1" s="5">
        <v>41306</v>
      </c>
      <c r="GY1" s="5">
        <v>41334</v>
      </c>
      <c r="GZ1" s="5">
        <v>41365</v>
      </c>
      <c r="HA1" s="5">
        <v>41395</v>
      </c>
      <c r="HB1" s="5">
        <v>41426</v>
      </c>
      <c r="HC1" s="5">
        <v>41456</v>
      </c>
      <c r="HD1" s="5">
        <v>41487</v>
      </c>
      <c r="HE1" s="5">
        <v>41518</v>
      </c>
      <c r="HF1" s="5">
        <v>41548</v>
      </c>
      <c r="HG1" s="5">
        <v>41579</v>
      </c>
      <c r="HH1" s="5">
        <v>41609</v>
      </c>
      <c r="HI1" s="5">
        <v>41640</v>
      </c>
      <c r="HJ1" s="5">
        <v>41671</v>
      </c>
      <c r="HK1" s="5">
        <v>41699</v>
      </c>
      <c r="HL1" s="5">
        <v>41730</v>
      </c>
      <c r="HM1" s="5">
        <v>41760</v>
      </c>
      <c r="HN1" s="5">
        <v>41791</v>
      </c>
      <c r="HO1" s="5">
        <v>41821</v>
      </c>
      <c r="HP1" s="5">
        <v>41852</v>
      </c>
      <c r="HQ1" s="5">
        <v>41883</v>
      </c>
      <c r="HR1" s="5">
        <v>41913</v>
      </c>
      <c r="HS1" s="5">
        <v>41944</v>
      </c>
      <c r="HT1" s="5">
        <v>41974</v>
      </c>
      <c r="HU1" s="5">
        <v>42005</v>
      </c>
      <c r="HV1" s="5">
        <v>42036</v>
      </c>
      <c r="HW1" s="5">
        <v>42064</v>
      </c>
      <c r="HX1" s="5">
        <v>42095</v>
      </c>
      <c r="HY1" s="5">
        <v>42125</v>
      </c>
      <c r="HZ1" s="5">
        <v>42156</v>
      </c>
      <c r="IA1" s="5">
        <v>42186</v>
      </c>
      <c r="IB1" s="5">
        <v>42217</v>
      </c>
      <c r="IC1" s="5">
        <v>42248</v>
      </c>
      <c r="ID1" s="5">
        <v>42278</v>
      </c>
      <c r="IE1" s="5">
        <v>42309</v>
      </c>
      <c r="IF1" s="5">
        <v>42339</v>
      </c>
      <c r="IG1" s="5">
        <v>42370</v>
      </c>
      <c r="IH1" s="5">
        <v>42401</v>
      </c>
      <c r="II1" s="5">
        <v>42430</v>
      </c>
      <c r="IJ1" s="5">
        <v>42461</v>
      </c>
      <c r="IK1" s="5">
        <v>42491</v>
      </c>
      <c r="IL1" s="5">
        <v>42522</v>
      </c>
      <c r="IM1" s="5">
        <v>42552</v>
      </c>
      <c r="IN1" s="5">
        <v>42583</v>
      </c>
      <c r="IO1" s="5">
        <v>42614</v>
      </c>
      <c r="IP1" s="5">
        <v>42644</v>
      </c>
      <c r="IQ1" s="5">
        <v>42675</v>
      </c>
      <c r="IR1" s="5">
        <v>42705</v>
      </c>
      <c r="IS1" s="5">
        <v>42736</v>
      </c>
      <c r="IT1" s="5">
        <v>42767</v>
      </c>
      <c r="IU1" s="5">
        <v>42795</v>
      </c>
      <c r="IV1" s="5">
        <v>42826</v>
      </c>
      <c r="IW1" s="5">
        <v>42856</v>
      </c>
      <c r="IX1" s="5">
        <v>42887</v>
      </c>
      <c r="IY1" s="5">
        <v>42917</v>
      </c>
      <c r="IZ1" s="5">
        <v>42948</v>
      </c>
      <c r="JA1" s="5">
        <v>42979</v>
      </c>
      <c r="JB1" s="5">
        <v>43009</v>
      </c>
      <c r="JC1" s="5">
        <v>43040</v>
      </c>
      <c r="JD1" s="5">
        <v>43070</v>
      </c>
      <c r="JE1" s="5">
        <v>43101</v>
      </c>
      <c r="JF1" s="5">
        <v>43132</v>
      </c>
      <c r="JG1" s="5">
        <v>43160</v>
      </c>
      <c r="JH1" s="5">
        <v>43191</v>
      </c>
      <c r="JI1" s="5">
        <v>43221</v>
      </c>
      <c r="JJ1" s="5">
        <v>43252</v>
      </c>
      <c r="JK1" s="5">
        <v>43282</v>
      </c>
      <c r="JL1" s="5">
        <v>43313</v>
      </c>
      <c r="JM1" s="5">
        <v>43344</v>
      </c>
      <c r="JN1" s="5">
        <v>43374</v>
      </c>
      <c r="JO1" s="5">
        <v>43405</v>
      </c>
      <c r="JP1" s="5">
        <v>43435</v>
      </c>
      <c r="JQ1" s="5">
        <v>43466</v>
      </c>
      <c r="JR1" s="5">
        <v>43497</v>
      </c>
      <c r="JS1" s="5">
        <v>43525</v>
      </c>
      <c r="JT1" s="5">
        <v>43556</v>
      </c>
      <c r="JU1" s="5">
        <v>43586</v>
      </c>
      <c r="JV1" s="5">
        <v>43617</v>
      </c>
      <c r="JW1" s="5">
        <v>43647</v>
      </c>
      <c r="JX1" s="5">
        <v>43678</v>
      </c>
      <c r="JY1" s="5">
        <v>43709</v>
      </c>
      <c r="JZ1" s="5">
        <v>43739</v>
      </c>
      <c r="KA1" s="5">
        <v>43770</v>
      </c>
      <c r="KB1" s="5">
        <v>43800</v>
      </c>
      <c r="KC1" s="5">
        <v>43831</v>
      </c>
      <c r="KD1" s="5">
        <v>43862</v>
      </c>
      <c r="KE1" s="5">
        <v>43891</v>
      </c>
      <c r="KF1" s="5">
        <v>43922</v>
      </c>
      <c r="KG1" s="5">
        <v>43952</v>
      </c>
      <c r="KH1" s="5">
        <v>43983</v>
      </c>
      <c r="KI1" s="5">
        <v>44013</v>
      </c>
      <c r="KJ1" s="5">
        <v>44044</v>
      </c>
      <c r="KK1" s="5">
        <v>44075</v>
      </c>
      <c r="KL1" s="5">
        <v>44105</v>
      </c>
      <c r="KM1" s="5">
        <v>44136</v>
      </c>
      <c r="KN1" s="5">
        <v>44166</v>
      </c>
      <c r="KO1" s="5">
        <v>44197</v>
      </c>
      <c r="KP1" s="5">
        <v>44228</v>
      </c>
      <c r="KQ1" s="5">
        <v>44256</v>
      </c>
      <c r="KR1" s="5">
        <v>44287</v>
      </c>
      <c r="KS1" s="5">
        <v>44317</v>
      </c>
      <c r="KT1" s="5">
        <v>44348</v>
      </c>
      <c r="KU1" s="5">
        <v>44378</v>
      </c>
      <c r="KV1" s="5">
        <v>44409</v>
      </c>
      <c r="KW1" s="5">
        <v>44440</v>
      </c>
      <c r="KX1" s="5">
        <v>44470</v>
      </c>
      <c r="KY1" s="5">
        <v>44501</v>
      </c>
      <c r="KZ1" s="5">
        <v>44531</v>
      </c>
      <c r="LA1" s="5">
        <v>44562</v>
      </c>
      <c r="LB1" s="5">
        <v>44593</v>
      </c>
      <c r="LC1" s="5">
        <v>44621</v>
      </c>
      <c r="LD1" s="5">
        <v>44652</v>
      </c>
      <c r="LE1" s="5">
        <v>44682</v>
      </c>
      <c r="LF1" s="5">
        <v>44713</v>
      </c>
      <c r="LG1" s="5">
        <v>44743</v>
      </c>
      <c r="LH1" s="5">
        <v>44774</v>
      </c>
      <c r="LI1" s="5">
        <v>44805</v>
      </c>
      <c r="LJ1" s="5">
        <v>44835</v>
      </c>
      <c r="LK1" s="5">
        <v>44866</v>
      </c>
      <c r="LL1" s="5">
        <v>44896</v>
      </c>
      <c r="LM1" s="5">
        <v>44927</v>
      </c>
      <c r="LN1" s="5">
        <v>44958</v>
      </c>
      <c r="LO1" s="5">
        <v>44986</v>
      </c>
      <c r="LP1" s="5">
        <v>45017</v>
      </c>
      <c r="LQ1" s="5">
        <v>45047</v>
      </c>
      <c r="LR1" s="5">
        <v>45078</v>
      </c>
      <c r="LS1" s="5">
        <v>45108</v>
      </c>
      <c r="LT1" s="5">
        <v>45139</v>
      </c>
      <c r="LU1" s="5">
        <v>45170</v>
      </c>
      <c r="LV1" s="5">
        <v>45200</v>
      </c>
      <c r="LW1" s="5">
        <v>45231</v>
      </c>
      <c r="LX1" s="5">
        <v>45261</v>
      </c>
      <c r="LY1" s="5">
        <v>45292</v>
      </c>
      <c r="LZ1" s="5">
        <v>45323</v>
      </c>
      <c r="MA1" s="5">
        <v>45352</v>
      </c>
      <c r="MB1" s="5">
        <v>45383</v>
      </c>
      <c r="MC1" s="5">
        <v>45413</v>
      </c>
      <c r="MD1" s="5">
        <v>45444</v>
      </c>
      <c r="ME1" s="5">
        <v>45474</v>
      </c>
      <c r="MF1" s="5">
        <v>45505</v>
      </c>
      <c r="MG1" s="5">
        <v>45536</v>
      </c>
      <c r="MH1" s="5">
        <v>45566</v>
      </c>
      <c r="MI1" s="5">
        <v>45597</v>
      </c>
      <c r="MJ1" s="5">
        <v>45627</v>
      </c>
      <c r="MK1" s="5">
        <v>45658</v>
      </c>
      <c r="ML1" s="5">
        <v>45689</v>
      </c>
      <c r="MM1" s="6">
        <v>45717</v>
      </c>
      <c r="MN1" s="5">
        <v>45748</v>
      </c>
      <c r="MO1" s="5">
        <v>45778</v>
      </c>
      <c r="MP1" s="5">
        <v>45809</v>
      </c>
      <c r="MQ1" s="5">
        <v>45839</v>
      </c>
      <c r="MR1" s="5">
        <v>45870</v>
      </c>
      <c r="MS1" s="5">
        <v>45901</v>
      </c>
      <c r="MT1" s="5">
        <v>45931</v>
      </c>
      <c r="MU1" s="5">
        <v>45962</v>
      </c>
      <c r="MV1" s="5"/>
    </row>
    <row r="2" spans="1:360" s="27" customFormat="1" ht="18.75" customHeight="1" x14ac:dyDescent="0.25">
      <c r="A2" s="8" t="s">
        <v>0</v>
      </c>
      <c r="B2" s="8">
        <v>10207</v>
      </c>
      <c r="C2" s="9" t="s">
        <v>20</v>
      </c>
      <c r="D2" s="10" t="s">
        <v>21</v>
      </c>
      <c r="E2" s="10" t="s">
        <v>21</v>
      </c>
      <c r="F2" s="11" t="s">
        <v>22</v>
      </c>
      <c r="G2" s="39" t="s">
        <v>1</v>
      </c>
      <c r="H2" s="41">
        <v>11</v>
      </c>
      <c r="I2" s="13" t="s">
        <v>2</v>
      </c>
      <c r="J2" s="14">
        <v>6.08</v>
      </c>
      <c r="K2" s="15">
        <v>16.016888000000002</v>
      </c>
      <c r="L2" s="15">
        <v>80.914161000000007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>
        <v>3.6500000953674299</v>
      </c>
      <c r="Z2" s="17">
        <v>3.71000003814697</v>
      </c>
      <c r="AA2" s="17">
        <v>3.8099999427795401</v>
      </c>
      <c r="AB2" s="17">
        <v>4</v>
      </c>
      <c r="AC2" s="17">
        <v>4.2399997711181596</v>
      </c>
      <c r="AD2" s="17">
        <v>4.1999998092651403</v>
      </c>
      <c r="AE2" s="17">
        <v>4.2699999809265101</v>
      </c>
      <c r="AF2" s="17">
        <v>3.6500000953674299</v>
      </c>
      <c r="AG2" s="17">
        <v>3.6400001049041699</v>
      </c>
      <c r="AH2" s="17">
        <v>2.1900000572204599</v>
      </c>
      <c r="AI2" s="17">
        <v>0.40000000596046398</v>
      </c>
      <c r="AJ2" s="17">
        <v>2</v>
      </c>
      <c r="AK2" s="17">
        <v>2.7799999713897701</v>
      </c>
      <c r="AL2" s="17">
        <v>3</v>
      </c>
      <c r="AM2" s="17">
        <v>3.4200000762939502</v>
      </c>
      <c r="AN2" s="17">
        <v>3.6700000762939502</v>
      </c>
      <c r="AO2" s="17">
        <v>3.8299999237060498</v>
      </c>
      <c r="AP2" s="17">
        <v>3.9479999542236301</v>
      </c>
      <c r="AQ2" s="17">
        <v>4.0890002250671396</v>
      </c>
      <c r="AR2" s="17">
        <v>3.8970000743865998</v>
      </c>
      <c r="AS2" s="17">
        <v>3.1949999332428001</v>
      </c>
      <c r="AT2" s="17">
        <v>2.2969999313354501</v>
      </c>
      <c r="AU2" s="17">
        <v>2.2525000572204599</v>
      </c>
      <c r="AV2" s="17">
        <v>3.3910000324249299</v>
      </c>
      <c r="AW2" s="17">
        <v>3.4800000190734899</v>
      </c>
      <c r="AX2" s="17">
        <v>3.6600000858306898</v>
      </c>
      <c r="AY2" s="17">
        <v>3.8099999427795401</v>
      </c>
      <c r="AZ2" s="17">
        <v>4</v>
      </c>
      <c r="BA2" s="17">
        <v>4.0900001525878897</v>
      </c>
      <c r="BB2" s="17">
        <v>4.0310001373290998</v>
      </c>
      <c r="BC2" s="17">
        <v>3.4270000457763699</v>
      </c>
      <c r="BD2" s="17">
        <v>1.58000004291534</v>
      </c>
      <c r="BE2" s="17">
        <v>2.6600000858306898</v>
      </c>
      <c r="BF2" s="17">
        <v>3.4519999027252202</v>
      </c>
      <c r="BG2" s="17">
        <v>3.8900001049041699</v>
      </c>
      <c r="BH2" s="17">
        <v>4.28999996185303</v>
      </c>
      <c r="BI2" s="17">
        <v>4.25</v>
      </c>
      <c r="BJ2" s="17">
        <v>3.7000000476837198</v>
      </c>
      <c r="BK2" s="17">
        <v>3.9300000667571999</v>
      </c>
      <c r="BL2" s="17">
        <v>3.9400000572204599</v>
      </c>
      <c r="BM2" s="17">
        <v>4.3600001335143999</v>
      </c>
      <c r="BN2" s="17">
        <v>4.2800002098083496</v>
      </c>
      <c r="BO2" s="17">
        <v>4.4699997901916504</v>
      </c>
      <c r="BP2" s="17">
        <v>3.6900000572204599</v>
      </c>
      <c r="BQ2" s="17">
        <v>3.8340001106262198</v>
      </c>
      <c r="BR2" s="17">
        <v>2.71000003814697</v>
      </c>
      <c r="BS2" s="17">
        <v>2.75</v>
      </c>
      <c r="BT2" s="17">
        <v>3.3900001049041699</v>
      </c>
      <c r="BU2" s="17">
        <v>3.6700000762939502</v>
      </c>
      <c r="BV2" s="17">
        <v>3.8099999427795401</v>
      </c>
      <c r="BW2" s="17">
        <v>3.8299999237060498</v>
      </c>
      <c r="BX2" s="17">
        <v>3.8499999046325701</v>
      </c>
      <c r="BY2" s="17">
        <v>4.2300000190734899</v>
      </c>
      <c r="BZ2" s="17">
        <v>4.3800001144409197</v>
      </c>
      <c r="CA2" s="17">
        <v>4.3699998855590803</v>
      </c>
      <c r="CB2" s="17">
        <v>4.0900001525878897</v>
      </c>
      <c r="CC2" s="17">
        <v>4.0300002098083496</v>
      </c>
      <c r="CD2" s="17">
        <v>3.4700000286102299</v>
      </c>
      <c r="CE2" s="17">
        <v>3.5699999332428001</v>
      </c>
      <c r="CF2" s="17">
        <v>3.6500000953674299</v>
      </c>
      <c r="CG2" s="17">
        <v>4.03999996185303</v>
      </c>
      <c r="CH2" s="17">
        <v>4.3400001525878897</v>
      </c>
      <c r="CI2" s="17">
        <v>4.4000000953674299</v>
      </c>
      <c r="CJ2" s="17">
        <v>4.5599999427795401</v>
      </c>
      <c r="CK2" s="17">
        <v>5.1300001144409197</v>
      </c>
      <c r="CL2" s="17">
        <v>4.96000003814697</v>
      </c>
      <c r="CM2" s="17">
        <v>4.6500000953674299</v>
      </c>
      <c r="CN2" s="17">
        <v>4.9699997901916504</v>
      </c>
      <c r="CO2" s="17">
        <v>5.1700000762939498</v>
      </c>
      <c r="CP2" s="17">
        <v>3.5</v>
      </c>
      <c r="CQ2" s="17">
        <v>3.9700000286102299</v>
      </c>
      <c r="CR2" s="17">
        <v>2.7599999904632599</v>
      </c>
      <c r="CS2" s="17">
        <v>3.5599999427795401</v>
      </c>
      <c r="CT2" s="17">
        <v>3.9900000095367401</v>
      </c>
      <c r="CU2" s="17">
        <v>4.5500001907348597</v>
      </c>
      <c r="CV2" s="17">
        <v>4.8200001716613796</v>
      </c>
      <c r="CW2" s="17">
        <v>4.6300001144409197</v>
      </c>
      <c r="CX2" s="17">
        <v>4.5300002098083496</v>
      </c>
      <c r="CY2" s="17">
        <v>4.3699998855590803</v>
      </c>
      <c r="CZ2" s="17">
        <v>4.4299998283386204</v>
      </c>
      <c r="DA2" s="17">
        <v>4.46000003814697</v>
      </c>
      <c r="DB2" s="17">
        <v>3.7300000190734899</v>
      </c>
      <c r="DC2" s="17">
        <v>3.6500000953674299</v>
      </c>
      <c r="DD2" s="17">
        <v>3.6600000858306898</v>
      </c>
      <c r="DE2" s="17">
        <v>3.8099999427795401</v>
      </c>
      <c r="DF2" s="17">
        <v>4.0999999046325701</v>
      </c>
      <c r="DG2" s="17">
        <v>3.8800001144409202</v>
      </c>
      <c r="DH2" s="17">
        <v>4.8400001525878897</v>
      </c>
      <c r="DI2" s="17">
        <v>6.9099998474121103</v>
      </c>
      <c r="DJ2" s="17">
        <v>4.8400001525878897</v>
      </c>
      <c r="DK2" s="17">
        <v>4.6100001335143999</v>
      </c>
      <c r="DL2" s="17">
        <v>4</v>
      </c>
      <c r="DM2" s="17">
        <v>1.37000000476837</v>
      </c>
      <c r="DN2" s="17">
        <v>0.61000001430511497</v>
      </c>
      <c r="DO2" s="17">
        <v>1.4400000572204601</v>
      </c>
      <c r="DP2" s="17">
        <v>2.6700000762939502</v>
      </c>
      <c r="DQ2" s="17">
        <v>3.2400000095367401</v>
      </c>
      <c r="DR2" s="17">
        <v>3.4900000095367401</v>
      </c>
      <c r="DS2" s="17">
        <v>3.3499999046325701</v>
      </c>
      <c r="DT2" s="17">
        <v>3.4900000095367401</v>
      </c>
      <c r="DU2" s="17">
        <v>3.9000000953674299</v>
      </c>
      <c r="DV2" s="17">
        <v>4.1100001335143999</v>
      </c>
      <c r="DW2" s="17">
        <v>4.2300000190734899</v>
      </c>
      <c r="DX2" s="17">
        <v>3.03999996185303</v>
      </c>
      <c r="DY2" s="17">
        <v>2.4200000762939502</v>
      </c>
      <c r="DZ2" s="17">
        <v>2.7699999809265101</v>
      </c>
      <c r="EA2" s="17">
        <v>1.1499999761581401</v>
      </c>
      <c r="EB2" s="17">
        <v>2.5799999237060498</v>
      </c>
      <c r="EC2" s="17">
        <v>3</v>
      </c>
      <c r="ED2" s="17">
        <v>3.2000000476837198</v>
      </c>
      <c r="EE2" s="17">
        <v>3.2999999523162802</v>
      </c>
      <c r="EF2" s="17">
        <v>3.53999996185303</v>
      </c>
      <c r="EG2" s="17">
        <v>3.5799999237060498</v>
      </c>
      <c r="EH2" s="17">
        <v>4.1700000762939498</v>
      </c>
      <c r="EI2" s="17">
        <v>3.4400000572204599</v>
      </c>
      <c r="EJ2" s="17">
        <v>3.1900000572204599</v>
      </c>
      <c r="EK2" s="17">
        <v>2.0499999523162802</v>
      </c>
      <c r="EL2" s="17">
        <v>1.3600000143051101</v>
      </c>
      <c r="EM2" s="17">
        <v>2.6099998950958301</v>
      </c>
      <c r="EN2" s="17">
        <v>2.9700000286102299</v>
      </c>
      <c r="EO2" s="17">
        <v>3.1500000953674299</v>
      </c>
      <c r="EP2" s="17">
        <v>3</v>
      </c>
      <c r="EQ2" s="17">
        <v>3.3299999237060498</v>
      </c>
      <c r="ER2" s="17">
        <v>3.0799999237060498</v>
      </c>
      <c r="ES2" s="17">
        <v>3.7200000286102299</v>
      </c>
      <c r="ET2" s="17">
        <v>3.8499999046325701</v>
      </c>
      <c r="EU2" s="17">
        <v>3.6300001144409202</v>
      </c>
      <c r="EV2" s="17">
        <v>2.0099999904632599</v>
      </c>
      <c r="EW2" s="17">
        <v>2.6199998855590798</v>
      </c>
      <c r="EX2" s="17">
        <v>2.9900000095367401</v>
      </c>
      <c r="EY2" s="17">
        <v>2.9800000190734899</v>
      </c>
      <c r="EZ2" s="17">
        <v>2.8900001049041699</v>
      </c>
      <c r="FA2" s="17">
        <v>3.3499999046325701</v>
      </c>
      <c r="FB2" s="17">
        <v>3.5</v>
      </c>
      <c r="FC2" s="17">
        <v>3.5799999237060498</v>
      </c>
      <c r="FD2" s="17">
        <v>3.5</v>
      </c>
      <c r="FE2" s="17">
        <v>3.8399999141693102</v>
      </c>
      <c r="FF2" s="17">
        <v>4.1500000953674299</v>
      </c>
      <c r="FG2" s="17">
        <v>4.1999998092651403</v>
      </c>
      <c r="FH2" s="17">
        <v>2.8699998855590798</v>
      </c>
      <c r="FI2" s="17">
        <v>3.53999996185303</v>
      </c>
      <c r="FJ2" s="17">
        <v>1.7200000286102299</v>
      </c>
      <c r="FK2" s="17">
        <v>2.0799999237060498</v>
      </c>
      <c r="FL2" s="17">
        <v>2.8199999332428001</v>
      </c>
      <c r="FM2" s="17">
        <v>3.0799999237060498</v>
      </c>
      <c r="FN2" s="17">
        <v>3.5</v>
      </c>
      <c r="FO2" s="17">
        <v>3.5799999237060498</v>
      </c>
      <c r="FP2" s="17">
        <v>3.5799999237060498</v>
      </c>
      <c r="FQ2" s="17">
        <v>3.71000003814697</v>
      </c>
      <c r="FR2" s="17">
        <v>3.3800001144409202</v>
      </c>
      <c r="FS2" s="17">
        <v>1.3099999427795399</v>
      </c>
      <c r="FT2" s="17">
        <v>1.3600000143051101</v>
      </c>
      <c r="FU2" s="17">
        <v>0.52999997138977095</v>
      </c>
      <c r="FV2" s="17">
        <v>0.69999998807907104</v>
      </c>
      <c r="FW2" s="17">
        <v>1.0700000524520901</v>
      </c>
      <c r="FX2" s="17">
        <v>2.03999996185303</v>
      </c>
      <c r="FY2" s="17">
        <v>2.9500000476837198</v>
      </c>
      <c r="FZ2" s="17">
        <v>3.4800000190734899</v>
      </c>
      <c r="GA2" s="17">
        <v>3.9000000953674299</v>
      </c>
      <c r="GB2" s="17">
        <v>4.4000000953674299</v>
      </c>
      <c r="GC2" s="17">
        <v>4.5</v>
      </c>
      <c r="GD2" s="17">
        <v>4.5300002098083496</v>
      </c>
      <c r="GE2" s="17">
        <v>4.3899998664856001</v>
      </c>
      <c r="GF2" s="17">
        <v>3.5999999046325701</v>
      </c>
      <c r="GG2" s="17">
        <v>3.3499999046325701</v>
      </c>
      <c r="GH2" s="17">
        <v>3.5499999523162802</v>
      </c>
      <c r="GI2" s="17">
        <v>3.3299999237060498</v>
      </c>
      <c r="GJ2" s="17">
        <v>3.7000000476837198</v>
      </c>
      <c r="GK2" s="17">
        <v>2.9000000953674299</v>
      </c>
      <c r="GL2" s="17">
        <v>4.0199999809265101</v>
      </c>
      <c r="GM2" s="17">
        <v>4.4000000953674299</v>
      </c>
      <c r="GN2" s="17">
        <v>4.53999996185303</v>
      </c>
      <c r="GO2" s="17">
        <v>4.5</v>
      </c>
      <c r="GP2" s="17">
        <v>4.5700001716613796</v>
      </c>
      <c r="GQ2" s="17">
        <v>4.3000001907348597</v>
      </c>
      <c r="GR2" s="17">
        <v>4.1500000953674299</v>
      </c>
      <c r="GS2" s="17">
        <v>3.9000000953674299</v>
      </c>
      <c r="GT2" s="17">
        <v>3.2000000476837198</v>
      </c>
      <c r="GU2" s="17">
        <v>2.7999999523162802</v>
      </c>
      <c r="GV2" s="17">
        <v>3.6600000858306898</v>
      </c>
      <c r="GW2" s="17">
        <v>2.9000000953674299</v>
      </c>
      <c r="GX2" s="17">
        <v>4.0199999809265101</v>
      </c>
      <c r="GY2" s="17">
        <v>4.4000000953674299</v>
      </c>
      <c r="GZ2" s="17">
        <v>4.53999996185303</v>
      </c>
      <c r="HA2" s="17">
        <v>4.5</v>
      </c>
      <c r="HB2" s="17">
        <v>4.5700001716613796</v>
      </c>
      <c r="HC2" s="17">
        <v>4.3000001907348597</v>
      </c>
      <c r="HD2" s="17">
        <v>4.1500000953674299</v>
      </c>
      <c r="HE2" s="17">
        <v>3.9000000953674299</v>
      </c>
      <c r="HF2" s="17">
        <v>3.2000000476837198</v>
      </c>
      <c r="HG2" s="17">
        <v>2.7999999523162802</v>
      </c>
      <c r="HH2" s="17">
        <v>3.6600000858306898</v>
      </c>
      <c r="HI2" s="17">
        <v>3.4400000572204599</v>
      </c>
      <c r="HJ2" s="17">
        <v>4.0999999046325701</v>
      </c>
      <c r="HK2" s="17">
        <v>4.2300000190734899</v>
      </c>
      <c r="HL2" s="17">
        <v>4.4099998474121103</v>
      </c>
      <c r="HM2" s="17">
        <v>4.6100001335143999</v>
      </c>
      <c r="HN2" s="17">
        <v>4.7699999809265101</v>
      </c>
      <c r="HO2" s="17">
        <v>4.7699999809265101</v>
      </c>
      <c r="HP2" s="17">
        <v>4.5199999809265101</v>
      </c>
      <c r="HQ2" s="17">
        <v>4.2699999809265101</v>
      </c>
      <c r="HR2" s="17">
        <v>3.9000000953674299</v>
      </c>
      <c r="HS2" s="17">
        <v>3.8199999332428001</v>
      </c>
      <c r="HT2" s="17">
        <v>4.1199998855590803</v>
      </c>
      <c r="HU2" s="17">
        <v>4.2699999809265101</v>
      </c>
      <c r="HV2" s="17">
        <v>4.6999998092651403</v>
      </c>
      <c r="HW2" s="17">
        <v>5.0199999809265101</v>
      </c>
      <c r="HX2" s="17">
        <v>5.3899998664856001</v>
      </c>
      <c r="HY2" s="17">
        <v>5.3899998664856001</v>
      </c>
      <c r="HZ2" s="17">
        <v>4.53999996185303</v>
      </c>
      <c r="IA2" s="17">
        <v>4.6199998855590803</v>
      </c>
      <c r="IB2" s="17">
        <v>4.5700001716613796</v>
      </c>
      <c r="IC2" s="17">
        <v>3.9000000953674299</v>
      </c>
      <c r="ID2" s="17">
        <v>4.3899998664856001</v>
      </c>
      <c r="IE2" s="17">
        <v>4.1500000953674299</v>
      </c>
      <c r="IF2" s="17">
        <v>4.0900001525878897</v>
      </c>
      <c r="IG2" s="17">
        <v>4.46000003814697</v>
      </c>
      <c r="IH2" s="17">
        <v>4.7399997711181596</v>
      </c>
      <c r="II2" s="17">
        <v>4.8800001144409197</v>
      </c>
      <c r="IJ2" s="17">
        <v>5.8099999427795401</v>
      </c>
      <c r="IK2" s="17">
        <v>5.21000003814697</v>
      </c>
      <c r="IL2" s="17">
        <v>4.3400001525878897</v>
      </c>
      <c r="IM2" s="17">
        <v>4.2600002288818404</v>
      </c>
      <c r="IN2" s="17">
        <v>4.25</v>
      </c>
      <c r="IO2" s="17">
        <v>3.9900000095367401</v>
      </c>
      <c r="IP2" s="17">
        <v>3.6600000858306898</v>
      </c>
      <c r="IQ2" s="17">
        <v>3.9500000476837198</v>
      </c>
      <c r="IR2" s="17">
        <v>3.9700000286102299</v>
      </c>
      <c r="IS2" s="17">
        <v>4.2300000000000004</v>
      </c>
      <c r="IT2" s="17">
        <v>4.6500000000000004</v>
      </c>
      <c r="IU2" s="17">
        <v>5.03</v>
      </c>
      <c r="IV2" s="18">
        <v>5.16</v>
      </c>
      <c r="IW2" s="18">
        <v>5.26</v>
      </c>
      <c r="IX2" s="18">
        <v>4.92</v>
      </c>
      <c r="IY2" s="18">
        <v>4.7</v>
      </c>
      <c r="IZ2" s="19">
        <v>4.4800000000000004</v>
      </c>
      <c r="JA2" s="20">
        <v>4.0599999999999996</v>
      </c>
      <c r="JB2" s="20">
        <v>4.04</v>
      </c>
      <c r="JC2" s="20">
        <v>4.1100000000000003</v>
      </c>
      <c r="JD2" s="20">
        <v>4.1399999999999997</v>
      </c>
      <c r="JE2" s="20">
        <v>4.4000000000000004</v>
      </c>
      <c r="JF2" s="21">
        <v>4.7699999999999996</v>
      </c>
      <c r="JG2" s="22">
        <v>4.9800000000000004</v>
      </c>
      <c r="JH2" s="22">
        <v>5.1100000000000003</v>
      </c>
      <c r="JI2" s="20">
        <v>5.23</v>
      </c>
      <c r="JJ2" s="23">
        <v>5.1100000000000003</v>
      </c>
      <c r="JK2" s="24">
        <v>4.76</v>
      </c>
      <c r="JL2" s="24">
        <v>4.4000000000000004</v>
      </c>
      <c r="JM2" s="25">
        <v>4.3600000000000003</v>
      </c>
      <c r="JN2" s="25">
        <v>4.51</v>
      </c>
      <c r="JO2" s="17" t="s">
        <v>23</v>
      </c>
      <c r="JP2" s="17">
        <v>4.04</v>
      </c>
      <c r="JQ2" s="18">
        <v>4.9400000000000004</v>
      </c>
      <c r="JR2" s="18">
        <v>4.8</v>
      </c>
      <c r="JS2" s="25">
        <v>5.09</v>
      </c>
      <c r="JT2" s="25">
        <v>5.39</v>
      </c>
      <c r="JU2" s="17">
        <v>5.51</v>
      </c>
      <c r="JV2" s="18">
        <v>5.55</v>
      </c>
      <c r="JW2" s="18">
        <v>5.04</v>
      </c>
      <c r="JX2" s="18">
        <v>2.5499999999999998</v>
      </c>
      <c r="JY2" s="18">
        <v>0.71</v>
      </c>
      <c r="JZ2" s="18">
        <v>0.76</v>
      </c>
      <c r="KA2" s="18">
        <v>2.74</v>
      </c>
      <c r="KB2" s="18">
        <v>2.77</v>
      </c>
      <c r="KC2" s="18">
        <v>3.96</v>
      </c>
      <c r="KD2" s="18">
        <v>4.25</v>
      </c>
      <c r="KE2" s="18">
        <v>4.54</v>
      </c>
      <c r="KF2" s="18">
        <v>4.83</v>
      </c>
      <c r="KG2" s="26">
        <v>4.99</v>
      </c>
      <c r="KH2" s="26">
        <v>4.9400000000000004</v>
      </c>
      <c r="KI2" s="26">
        <v>4.46</v>
      </c>
      <c r="KJ2" s="26">
        <v>4.1399999999999997</v>
      </c>
      <c r="KK2" s="26">
        <v>2.2599999999999998</v>
      </c>
      <c r="KL2" s="18">
        <v>0.36</v>
      </c>
      <c r="KM2" s="26">
        <v>1.6600000000000001</v>
      </c>
      <c r="KN2" s="18">
        <v>2.93</v>
      </c>
      <c r="KO2" s="18">
        <v>3.4400000000000004</v>
      </c>
      <c r="KP2" s="18">
        <v>3.7800000000000002</v>
      </c>
      <c r="KQ2" s="18">
        <v>4.3600000000000003</v>
      </c>
      <c r="KR2" s="18">
        <v>4.3</v>
      </c>
      <c r="KS2" s="18">
        <v>4.57</v>
      </c>
      <c r="KT2" s="18">
        <v>4.49</v>
      </c>
      <c r="KU2" s="26">
        <v>4.46</v>
      </c>
      <c r="KV2" s="18">
        <v>4.05</v>
      </c>
      <c r="KW2" s="17">
        <v>3.4400000000000004</v>
      </c>
      <c r="KX2" s="17">
        <v>3.37</v>
      </c>
      <c r="KY2" s="18">
        <v>1.5300000000000002</v>
      </c>
      <c r="KZ2" s="17">
        <v>1.6400000000000001</v>
      </c>
      <c r="LA2" s="17">
        <v>1.81</v>
      </c>
      <c r="LB2" s="17">
        <v>2.1100000000000003</v>
      </c>
      <c r="LC2" s="17">
        <v>2.48</v>
      </c>
      <c r="LD2" s="18">
        <v>5.83</v>
      </c>
      <c r="LE2" s="17">
        <v>4.88</v>
      </c>
      <c r="LF2" s="17">
        <v>4.9800000000000004</v>
      </c>
      <c r="LG2" s="18">
        <v>4.1399999999999997</v>
      </c>
      <c r="LH2" s="18">
        <v>3.83</v>
      </c>
      <c r="LI2" s="18">
        <v>3.67</v>
      </c>
      <c r="LJ2" s="18">
        <v>2.42</v>
      </c>
      <c r="LK2" s="18">
        <v>3.87</v>
      </c>
      <c r="LL2" s="18">
        <v>3.51</v>
      </c>
      <c r="LM2" s="18">
        <v>4.22</v>
      </c>
      <c r="LN2" s="18">
        <v>4.63</v>
      </c>
      <c r="LO2" s="18">
        <v>4.57</v>
      </c>
      <c r="LP2" s="18">
        <v>4.3600000000000003</v>
      </c>
      <c r="LQ2" s="18">
        <v>4.8500000000000005</v>
      </c>
      <c r="LR2" s="18">
        <v>5.12</v>
      </c>
      <c r="LS2" s="18">
        <v>4.1500000000000004</v>
      </c>
      <c r="LT2" s="18">
        <v>4.4000000000000004</v>
      </c>
      <c r="LU2" s="18">
        <v>4.17</v>
      </c>
      <c r="LV2" s="17">
        <v>4.53</v>
      </c>
      <c r="LW2" s="17">
        <v>4.26</v>
      </c>
      <c r="LX2" s="17">
        <v>3.8400000000000003</v>
      </c>
      <c r="LY2" s="17">
        <v>4.4899999999999993</v>
      </c>
      <c r="LZ2" s="17">
        <v>4.9499999999999993</v>
      </c>
      <c r="MA2" s="17">
        <v>5.12</v>
      </c>
      <c r="MB2" s="17">
        <v>5.26</v>
      </c>
      <c r="MC2" s="17">
        <v>5.21</v>
      </c>
      <c r="MD2" s="17">
        <v>5.27</v>
      </c>
      <c r="ME2" s="17">
        <v>4.6899999999999995</v>
      </c>
      <c r="MF2" s="17">
        <v>4.55</v>
      </c>
      <c r="MG2" s="17">
        <v>1.9100000000000001</v>
      </c>
      <c r="MH2" s="17">
        <v>2.44</v>
      </c>
      <c r="MI2" s="17">
        <v>3.22</v>
      </c>
      <c r="MJ2" s="17">
        <v>3.8400000000000003</v>
      </c>
      <c r="MK2" s="17">
        <v>4.26</v>
      </c>
      <c r="ML2" s="17">
        <v>4.5599999999999996</v>
      </c>
      <c r="MM2" s="27">
        <v>4.97</v>
      </c>
      <c r="MN2" s="27">
        <f>VLOOKUP(B2,[1]Sheet1!$A:$N,7,0)</f>
        <v>5.22</v>
      </c>
      <c r="MO2" s="27">
        <f>VLOOKUP(B2,[1]Sheet1!$A:$N,8,0)</f>
        <v>4.55</v>
      </c>
      <c r="MP2" s="27">
        <f>VLOOKUP(B2,[1]Sheet1!$A:$N,9,0)</f>
        <v>4.71</v>
      </c>
      <c r="MQ2" s="27">
        <f>VLOOKUP(B2,[1]Sheet1!$A:$N,10,0)</f>
        <v>4.9899999999999993</v>
      </c>
      <c r="MR2" s="27">
        <f>VLOOKUP(B2,[1]Sheet1!$A:$N,11,0)</f>
        <v>3.56</v>
      </c>
      <c r="MS2" s="27">
        <f>VLOOKUP(B2,[1]Sheet1!$A:$N,12,0)</f>
        <v>3.49</v>
      </c>
      <c r="MT2" s="27">
        <f>VLOOKUP(B2,[1]Sheet1!$A:$N,13,0)</f>
        <v>2.58</v>
      </c>
      <c r="MU2" s="27">
        <f>VLOOKUP(B2,[1]Sheet1!$A:$N,14,0)</f>
        <v>3.04</v>
      </c>
    </row>
    <row r="3" spans="1:360" s="27" customFormat="1" ht="18.75" customHeight="1" x14ac:dyDescent="0.25">
      <c r="A3" s="8" t="s">
        <v>0</v>
      </c>
      <c r="B3" s="8">
        <v>10208</v>
      </c>
      <c r="C3" s="9" t="s">
        <v>20</v>
      </c>
      <c r="D3" s="10" t="s">
        <v>24</v>
      </c>
      <c r="E3" s="10" t="s">
        <v>24</v>
      </c>
      <c r="F3" s="11" t="s">
        <v>25</v>
      </c>
      <c r="G3" s="39" t="s">
        <v>1</v>
      </c>
      <c r="H3" s="41">
        <v>30.5</v>
      </c>
      <c r="I3" s="13" t="s">
        <v>2</v>
      </c>
      <c r="J3" s="28">
        <v>7.62</v>
      </c>
      <c r="K3" s="15">
        <v>16.429843999999999</v>
      </c>
      <c r="L3" s="15">
        <v>80.970641999999998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8"/>
      <c r="Z3" s="18"/>
      <c r="AA3" s="18"/>
      <c r="AB3" s="18"/>
      <c r="AC3" s="18"/>
      <c r="AD3" s="29">
        <v>2.84</v>
      </c>
      <c r="AE3" s="29">
        <v>2.83</v>
      </c>
      <c r="AF3" s="29">
        <v>1.18</v>
      </c>
      <c r="AG3" s="29">
        <v>0.69</v>
      </c>
      <c r="AH3" s="29">
        <v>1</v>
      </c>
      <c r="AI3" s="29">
        <v>1.1100000000000001</v>
      </c>
      <c r="AJ3" s="29">
        <v>1.24</v>
      </c>
      <c r="AK3" s="29">
        <v>1.28</v>
      </c>
      <c r="AL3" s="29">
        <v>1.3</v>
      </c>
      <c r="AM3" s="29">
        <v>1.33</v>
      </c>
      <c r="AN3" s="29">
        <v>1.37</v>
      </c>
      <c r="AO3" s="29">
        <v>2.4</v>
      </c>
      <c r="AP3" s="29">
        <v>2.2000000000000002</v>
      </c>
      <c r="AQ3" s="29">
        <v>1.76</v>
      </c>
      <c r="AR3" s="29">
        <v>1.48</v>
      </c>
      <c r="AS3" s="29">
        <v>1.52</v>
      </c>
      <c r="AT3" s="29">
        <v>1.31</v>
      </c>
      <c r="AU3" s="29">
        <v>1.1399999999999999</v>
      </c>
      <c r="AV3" s="29">
        <v>1.8</v>
      </c>
      <c r="AW3" s="29">
        <v>1.94</v>
      </c>
      <c r="AX3" s="29">
        <v>2.1</v>
      </c>
      <c r="AY3" s="29">
        <v>2.41</v>
      </c>
      <c r="AZ3" s="29">
        <v>2.61</v>
      </c>
      <c r="BA3" s="29">
        <v>2.86</v>
      </c>
      <c r="BB3" s="29">
        <v>2.6</v>
      </c>
      <c r="BC3" s="29">
        <v>2.41</v>
      </c>
      <c r="BD3" s="29">
        <v>0.95</v>
      </c>
      <c r="BE3" s="29">
        <v>0.75</v>
      </c>
      <c r="BF3" s="29">
        <v>1.93</v>
      </c>
      <c r="BG3" s="29">
        <v>2.08</v>
      </c>
      <c r="BH3" s="29">
        <v>2.1</v>
      </c>
      <c r="BI3" s="29">
        <v>2.12</v>
      </c>
      <c r="BJ3" s="29">
        <v>2.21</v>
      </c>
      <c r="BK3" s="29">
        <v>2.2799999999999998</v>
      </c>
      <c r="BL3" s="29">
        <v>2.37</v>
      </c>
      <c r="BM3" s="29">
        <v>2.61</v>
      </c>
      <c r="BN3" s="29">
        <v>3.11</v>
      </c>
      <c r="BO3" s="29">
        <v>3.41</v>
      </c>
      <c r="BP3" s="29">
        <v>1.86</v>
      </c>
      <c r="BQ3" s="29">
        <v>1.18</v>
      </c>
      <c r="BR3" s="29">
        <v>1.39</v>
      </c>
      <c r="BS3" s="29">
        <v>1.28</v>
      </c>
      <c r="BT3" s="29">
        <v>1.86</v>
      </c>
      <c r="BU3" s="29">
        <v>2.17</v>
      </c>
      <c r="BV3" s="29">
        <v>2.1800000000000002</v>
      </c>
      <c r="BW3" s="29">
        <v>2.2200000000000002</v>
      </c>
      <c r="BX3" s="29">
        <v>2.7</v>
      </c>
      <c r="BY3" s="29">
        <v>2.94</v>
      </c>
      <c r="BZ3" s="29">
        <v>3.18</v>
      </c>
      <c r="CA3" s="29">
        <v>3.41</v>
      </c>
      <c r="CB3" s="29">
        <v>2.74</v>
      </c>
      <c r="CC3" s="29">
        <v>2.17</v>
      </c>
      <c r="CD3" s="29">
        <v>1.41</v>
      </c>
      <c r="CE3" s="29">
        <v>1.37</v>
      </c>
      <c r="CF3" s="29">
        <v>2.0299999999999998</v>
      </c>
      <c r="CG3" s="29">
        <v>2.69</v>
      </c>
      <c r="CH3" s="29">
        <v>3.15</v>
      </c>
      <c r="CI3" s="29">
        <v>3.52</v>
      </c>
      <c r="CJ3" s="29">
        <v>3.85</v>
      </c>
      <c r="CK3" s="29">
        <v>4.16</v>
      </c>
      <c r="CL3" s="29">
        <v>4.29</v>
      </c>
      <c r="CM3" s="29">
        <v>4.24</v>
      </c>
      <c r="CN3" s="29">
        <v>4.33</v>
      </c>
      <c r="CO3" s="29">
        <v>5.03</v>
      </c>
      <c r="CP3" s="29">
        <v>4.41</v>
      </c>
      <c r="CQ3" s="29">
        <v>4</v>
      </c>
      <c r="CR3" s="29">
        <v>1.46</v>
      </c>
      <c r="CS3" s="29">
        <v>2.4900000000000002</v>
      </c>
      <c r="CT3" s="29">
        <v>3.45</v>
      </c>
      <c r="CU3" s="29">
        <v>4.16</v>
      </c>
      <c r="CV3" s="29">
        <v>4.62</v>
      </c>
      <c r="CW3" s="29">
        <v>4.63</v>
      </c>
      <c r="CX3" s="29">
        <v>4.2</v>
      </c>
      <c r="CY3" s="29">
        <v>4.55</v>
      </c>
      <c r="CZ3" s="29">
        <v>4.3499999999999996</v>
      </c>
      <c r="DA3" s="29">
        <v>4.5599999999999996</v>
      </c>
      <c r="DB3" s="29">
        <v>2.54</v>
      </c>
      <c r="DC3" s="29">
        <v>1.72</v>
      </c>
      <c r="DD3" s="29">
        <v>1.87</v>
      </c>
      <c r="DE3" s="29">
        <v>2.4700000000000002</v>
      </c>
      <c r="DF3" s="29">
        <v>3.2</v>
      </c>
      <c r="DG3" s="29">
        <v>3.16</v>
      </c>
      <c r="DH3" s="29">
        <v>4.03</v>
      </c>
      <c r="DI3" s="29">
        <v>4.07</v>
      </c>
      <c r="DJ3" s="29">
        <v>4.38</v>
      </c>
      <c r="DK3" s="29">
        <v>4.3899999999999997</v>
      </c>
      <c r="DL3" s="29">
        <v>4.0599999999999996</v>
      </c>
      <c r="DM3" s="29">
        <v>0.98</v>
      </c>
      <c r="DN3" s="29">
        <v>0.45</v>
      </c>
      <c r="DO3" s="29">
        <v>1.67</v>
      </c>
      <c r="DP3" s="29">
        <v>1.85</v>
      </c>
      <c r="DQ3" s="29">
        <v>2.0699999999999998</v>
      </c>
      <c r="DR3" s="29">
        <v>1.92</v>
      </c>
      <c r="DS3" s="29">
        <v>1.84</v>
      </c>
      <c r="DT3" s="29">
        <v>1.5</v>
      </c>
      <c r="DU3" s="29">
        <v>2.59</v>
      </c>
      <c r="DV3" s="29">
        <v>3.15</v>
      </c>
      <c r="DW3" s="29">
        <v>2.63</v>
      </c>
      <c r="DX3" s="29">
        <v>1.98</v>
      </c>
      <c r="DY3" s="29">
        <v>0.54</v>
      </c>
      <c r="DZ3" s="29">
        <v>1.28</v>
      </c>
      <c r="EA3" s="29">
        <v>1.03</v>
      </c>
      <c r="EB3" s="29">
        <v>1.71</v>
      </c>
      <c r="EC3" s="29">
        <v>1.46</v>
      </c>
      <c r="ED3" s="29">
        <v>2.06</v>
      </c>
      <c r="EE3" s="29">
        <v>2.16</v>
      </c>
      <c r="EF3" s="29">
        <v>2.2599999999999998</v>
      </c>
      <c r="EG3" s="29">
        <v>2.57</v>
      </c>
      <c r="EH3" s="29">
        <v>3.12</v>
      </c>
      <c r="EI3" s="29">
        <v>1.41</v>
      </c>
      <c r="EJ3" s="29">
        <v>1.54</v>
      </c>
      <c r="EK3" s="29">
        <v>1.41</v>
      </c>
      <c r="EL3" s="29">
        <v>1.25</v>
      </c>
      <c r="EM3" s="29">
        <v>1.7</v>
      </c>
      <c r="EN3" s="29">
        <v>1.99</v>
      </c>
      <c r="EO3" s="29">
        <v>2</v>
      </c>
      <c r="EP3" s="29">
        <v>2.04</v>
      </c>
      <c r="EQ3" s="29">
        <v>1.83</v>
      </c>
      <c r="ER3" s="29">
        <v>2.2799999999999998</v>
      </c>
      <c r="ES3" s="29">
        <v>2.98</v>
      </c>
      <c r="ET3" s="29">
        <v>3.37</v>
      </c>
      <c r="EU3" s="29">
        <v>1.7</v>
      </c>
      <c r="EV3" s="29">
        <v>1.81</v>
      </c>
      <c r="EW3" s="29">
        <v>1.24</v>
      </c>
      <c r="EX3" s="29">
        <v>1.1299999999999999</v>
      </c>
      <c r="EY3" s="29">
        <v>1.08</v>
      </c>
      <c r="EZ3" s="29">
        <v>1.73</v>
      </c>
      <c r="FA3" s="29">
        <v>1.88</v>
      </c>
      <c r="FB3" s="29">
        <v>2.1</v>
      </c>
      <c r="FC3" s="29">
        <v>2.15</v>
      </c>
      <c r="FD3" s="29">
        <v>2.33</v>
      </c>
      <c r="FE3" s="29">
        <v>2.75</v>
      </c>
      <c r="FF3" s="29">
        <v>3.18</v>
      </c>
      <c r="FG3" s="29">
        <v>3.78</v>
      </c>
      <c r="FH3" s="29">
        <v>2.63</v>
      </c>
      <c r="FI3" s="29">
        <v>1.85</v>
      </c>
      <c r="FJ3" s="29">
        <v>1.41</v>
      </c>
      <c r="FK3" s="29">
        <v>1</v>
      </c>
      <c r="FL3" s="29">
        <v>1.7</v>
      </c>
      <c r="FM3" s="29">
        <v>1.81</v>
      </c>
      <c r="FN3" s="29">
        <v>2.02</v>
      </c>
      <c r="FO3" s="29">
        <v>2.21</v>
      </c>
      <c r="FP3" s="29">
        <v>2.58</v>
      </c>
      <c r="FQ3" s="29">
        <v>2.94</v>
      </c>
      <c r="FR3" s="29">
        <v>2.65</v>
      </c>
      <c r="FS3" s="29">
        <v>1.9</v>
      </c>
      <c r="FT3" s="29">
        <v>1.3</v>
      </c>
      <c r="FU3" s="29">
        <v>1.37</v>
      </c>
      <c r="FV3" s="29">
        <v>0.65</v>
      </c>
      <c r="FW3" s="29">
        <v>1.07</v>
      </c>
      <c r="FX3" s="29">
        <v>1.58</v>
      </c>
      <c r="FY3" s="29">
        <v>1.85</v>
      </c>
      <c r="FZ3" s="29">
        <v>1.79</v>
      </c>
      <c r="GA3" s="29">
        <v>1.83</v>
      </c>
      <c r="GB3" s="29">
        <v>1.77</v>
      </c>
      <c r="GC3" s="29">
        <v>2.0499999999999998</v>
      </c>
      <c r="GD3" s="29">
        <v>2.73</v>
      </c>
      <c r="GE3" s="29">
        <v>1.87</v>
      </c>
      <c r="GF3" s="29">
        <v>0.8</v>
      </c>
      <c r="GG3" s="29">
        <v>1.1499999999999999</v>
      </c>
      <c r="GH3" s="29">
        <v>1.65</v>
      </c>
      <c r="GI3" s="29">
        <v>1.62</v>
      </c>
      <c r="GJ3" s="29">
        <v>1.8</v>
      </c>
      <c r="GK3" s="29">
        <v>2.15</v>
      </c>
      <c r="GL3" s="29">
        <v>2.65</v>
      </c>
      <c r="GM3" s="29">
        <v>2.95</v>
      </c>
      <c r="GN3" s="29">
        <v>3</v>
      </c>
      <c r="GO3" s="29">
        <v>3.15</v>
      </c>
      <c r="GP3" s="29">
        <v>3.55</v>
      </c>
      <c r="GQ3" s="29">
        <v>3.25</v>
      </c>
      <c r="GR3" s="29">
        <v>2.3199999999999998</v>
      </c>
      <c r="GS3" s="29">
        <v>1.63</v>
      </c>
      <c r="GT3" s="29">
        <v>2.17</v>
      </c>
      <c r="GU3" s="29">
        <v>1.35</v>
      </c>
      <c r="GV3" s="29">
        <v>2.57</v>
      </c>
      <c r="GW3" s="29">
        <v>2.4700000000000002</v>
      </c>
      <c r="GX3" s="29">
        <v>2.37</v>
      </c>
      <c r="GY3" s="29">
        <v>2.92</v>
      </c>
      <c r="GZ3" s="29">
        <v>3.05</v>
      </c>
      <c r="HA3" s="29">
        <v>3.45</v>
      </c>
      <c r="HB3" s="29">
        <v>3.66</v>
      </c>
      <c r="HC3" s="29">
        <v>3.62</v>
      </c>
      <c r="HD3" s="29">
        <v>2.84</v>
      </c>
      <c r="HE3" s="29">
        <v>1.67</v>
      </c>
      <c r="HF3" s="29">
        <v>0.52</v>
      </c>
      <c r="HG3" s="29">
        <v>0.84</v>
      </c>
      <c r="HH3" s="29">
        <v>1.57</v>
      </c>
      <c r="HI3" s="29">
        <v>2.4700000000000002</v>
      </c>
      <c r="HJ3" s="29">
        <v>2.87</v>
      </c>
      <c r="HK3" s="29">
        <v>3.32</v>
      </c>
      <c r="HL3" s="29">
        <v>3.42</v>
      </c>
      <c r="HM3" s="29">
        <v>3.5</v>
      </c>
      <c r="HN3" s="29">
        <v>3.9</v>
      </c>
      <c r="HO3" s="29">
        <v>4.21</v>
      </c>
      <c r="HP3" s="29">
        <v>4.75</v>
      </c>
      <c r="HQ3" s="29">
        <v>2.63</v>
      </c>
      <c r="HR3" s="29">
        <v>1.5</v>
      </c>
      <c r="HS3" s="29">
        <v>1.68</v>
      </c>
      <c r="HT3" s="29">
        <v>2.2999999999999998</v>
      </c>
      <c r="HU3" s="29">
        <v>2.6</v>
      </c>
      <c r="HV3" s="29">
        <v>2.8</v>
      </c>
      <c r="HW3" s="29">
        <v>3.37</v>
      </c>
      <c r="HX3" s="29">
        <v>3.72</v>
      </c>
      <c r="HY3" s="29">
        <v>3.95</v>
      </c>
      <c r="HZ3" s="29">
        <v>3.82</v>
      </c>
      <c r="IA3" s="29">
        <v>3.89</v>
      </c>
      <c r="IB3" s="29">
        <v>4.5999999999999996</v>
      </c>
      <c r="IC3" s="29">
        <v>4.57</v>
      </c>
      <c r="ID3" s="29">
        <v>4.8899999999999997</v>
      </c>
      <c r="IE3" s="29">
        <v>4.8600000000000003</v>
      </c>
      <c r="IF3" s="29">
        <v>4.99</v>
      </c>
      <c r="IG3" s="29">
        <v>5.35</v>
      </c>
      <c r="IH3" s="29">
        <v>5.17</v>
      </c>
      <c r="II3" s="29">
        <v>5.26</v>
      </c>
      <c r="IJ3" s="29">
        <v>5.33</v>
      </c>
      <c r="IK3" s="29">
        <v>5.54</v>
      </c>
      <c r="IL3" s="29">
        <v>5.62</v>
      </c>
      <c r="IM3" s="29">
        <v>5.84</v>
      </c>
      <c r="IN3" s="29">
        <v>6.11</v>
      </c>
      <c r="IO3" s="29">
        <v>4.8499999999999996</v>
      </c>
      <c r="IP3" s="29">
        <v>3.99</v>
      </c>
      <c r="IQ3" s="29">
        <v>4.24</v>
      </c>
      <c r="IR3" s="29">
        <v>4.53</v>
      </c>
      <c r="IS3" s="29">
        <v>4.7300000000000004</v>
      </c>
      <c r="IT3" s="29">
        <v>4.7</v>
      </c>
      <c r="IU3" s="29">
        <v>5.04</v>
      </c>
      <c r="IV3" s="29">
        <v>5.38</v>
      </c>
      <c r="IW3" s="18">
        <v>5.53</v>
      </c>
      <c r="IX3" s="18">
        <v>5.68</v>
      </c>
      <c r="IY3" s="18">
        <v>5.72</v>
      </c>
      <c r="IZ3" s="19">
        <v>5.34</v>
      </c>
      <c r="JA3" s="20">
        <v>4.62</v>
      </c>
      <c r="JB3" s="20">
        <v>4.1399999999999997</v>
      </c>
      <c r="JC3" s="20">
        <v>4.3</v>
      </c>
      <c r="JD3" s="20">
        <v>4.6500000000000004</v>
      </c>
      <c r="JE3" s="20">
        <v>4.95</v>
      </c>
      <c r="JF3" s="21">
        <v>5.12</v>
      </c>
      <c r="JG3" s="22">
        <v>5.37</v>
      </c>
      <c r="JH3" s="22">
        <v>5.61</v>
      </c>
      <c r="JI3" s="20">
        <v>5.99</v>
      </c>
      <c r="JJ3" s="23">
        <v>6.15</v>
      </c>
      <c r="JK3" s="24">
        <v>6.09</v>
      </c>
      <c r="JL3" s="24">
        <v>4.99</v>
      </c>
      <c r="JM3" s="25">
        <v>5.24</v>
      </c>
      <c r="JN3" s="25">
        <v>5.12</v>
      </c>
      <c r="JO3" s="17">
        <v>5.0999999999999996</v>
      </c>
      <c r="JP3" s="17">
        <v>4.67</v>
      </c>
      <c r="JQ3" s="25">
        <v>4.82</v>
      </c>
      <c r="JR3" s="25">
        <v>5.36</v>
      </c>
      <c r="JS3" s="25">
        <v>5.58</v>
      </c>
      <c r="JT3" s="25">
        <v>5.33</v>
      </c>
      <c r="JU3" s="17">
        <v>7.56</v>
      </c>
      <c r="JV3" s="18">
        <v>6.88</v>
      </c>
      <c r="JW3" s="18">
        <v>6.72</v>
      </c>
      <c r="JX3" s="18">
        <v>6.47</v>
      </c>
      <c r="JY3" s="18">
        <v>5.77</v>
      </c>
      <c r="JZ3" s="18">
        <v>4.97</v>
      </c>
      <c r="KA3" s="18">
        <v>5.55</v>
      </c>
      <c r="KB3" s="18">
        <v>5.93</v>
      </c>
      <c r="KC3" s="18">
        <v>5.35</v>
      </c>
      <c r="KD3" s="18">
        <v>5.67</v>
      </c>
      <c r="KE3" s="18">
        <v>5.99</v>
      </c>
      <c r="KF3" s="18">
        <v>6.31</v>
      </c>
      <c r="KG3" s="26">
        <v>6.45</v>
      </c>
      <c r="KH3" s="26">
        <v>6.82</v>
      </c>
      <c r="KI3" s="26">
        <v>6.7</v>
      </c>
      <c r="KJ3" s="26">
        <v>6.23</v>
      </c>
      <c r="KK3" s="26">
        <v>5.83</v>
      </c>
      <c r="KL3" s="18">
        <v>4.72</v>
      </c>
      <c r="KM3" s="26">
        <v>3.68</v>
      </c>
      <c r="KN3" s="18">
        <v>4.1099999999999994</v>
      </c>
      <c r="KO3" s="18">
        <v>4.6999999999999993</v>
      </c>
      <c r="KP3" s="18">
        <v>4.9499999999999993</v>
      </c>
      <c r="KQ3" s="18">
        <v>5.4899999999999993</v>
      </c>
      <c r="KR3" s="18">
        <v>5.75</v>
      </c>
      <c r="KS3" s="18">
        <v>5.6199999999999992</v>
      </c>
      <c r="KT3" s="18">
        <v>5.34</v>
      </c>
      <c r="KU3" s="26">
        <v>5.25</v>
      </c>
      <c r="KV3" s="18">
        <v>5.08</v>
      </c>
      <c r="KW3" s="17">
        <v>4.6099999999999994</v>
      </c>
      <c r="KX3" s="17">
        <v>4.22</v>
      </c>
      <c r="KY3" s="18">
        <v>3.3200000000000003</v>
      </c>
      <c r="KZ3" s="17">
        <v>3.46</v>
      </c>
      <c r="LA3" s="17">
        <v>3.81</v>
      </c>
      <c r="LB3" s="17">
        <v>4.1599999999999993</v>
      </c>
      <c r="LC3" s="17">
        <v>5.0999999999999996</v>
      </c>
      <c r="LD3" s="17">
        <v>5.76</v>
      </c>
      <c r="LE3" s="17">
        <v>5.3</v>
      </c>
      <c r="LF3" s="17">
        <v>5.46</v>
      </c>
      <c r="LG3" s="18">
        <v>5.0599999999999996</v>
      </c>
      <c r="LH3" s="18">
        <v>5.6</v>
      </c>
      <c r="LI3" s="18">
        <v>2.87</v>
      </c>
      <c r="LJ3" s="18">
        <v>2.87</v>
      </c>
      <c r="LK3" s="18">
        <v>3.23</v>
      </c>
      <c r="LL3" s="18">
        <v>3.78</v>
      </c>
      <c r="LM3" s="18">
        <v>4</v>
      </c>
      <c r="LN3" s="18">
        <v>4.2799999999999994</v>
      </c>
      <c r="LO3" s="18">
        <v>5</v>
      </c>
      <c r="LP3" s="18">
        <v>5.22</v>
      </c>
      <c r="LQ3" s="18">
        <v>5.27</v>
      </c>
      <c r="LR3" s="18">
        <v>5.42</v>
      </c>
      <c r="LS3" s="18">
        <v>5.54</v>
      </c>
      <c r="LT3" s="18">
        <v>4.42</v>
      </c>
      <c r="LU3" s="18">
        <v>3.06</v>
      </c>
      <c r="LV3" s="17">
        <v>3.5300000000000002</v>
      </c>
      <c r="LW3" s="17">
        <v>3.6599999999999997</v>
      </c>
      <c r="LX3" s="17">
        <v>3.35</v>
      </c>
      <c r="LY3" s="17">
        <v>4.32</v>
      </c>
      <c r="LZ3" s="17">
        <v>4.6400000000000006</v>
      </c>
      <c r="MA3" s="17">
        <v>4.8099999999999996</v>
      </c>
      <c r="MB3" s="17">
        <v>5.0600000000000005</v>
      </c>
      <c r="MC3" s="17">
        <v>5.27</v>
      </c>
      <c r="MD3" s="17">
        <v>5.5299999999999994</v>
      </c>
      <c r="ME3" s="17">
        <v>5.9</v>
      </c>
      <c r="MF3" s="17">
        <v>5.9600000000000009</v>
      </c>
      <c r="MG3" s="17">
        <v>4.2100000000000009</v>
      </c>
      <c r="MH3" s="17">
        <v>3.6</v>
      </c>
      <c r="MI3" s="17">
        <v>3.4</v>
      </c>
      <c r="MJ3" s="17">
        <v>4.0600000000000005</v>
      </c>
      <c r="MK3" s="17">
        <v>4.57</v>
      </c>
      <c r="ML3" s="17">
        <v>4.7899999999999991</v>
      </c>
      <c r="MM3" s="27">
        <v>5.17</v>
      </c>
      <c r="MN3" s="27">
        <f>VLOOKUP(B3,[1]Sheet1!$A:$N,7,0)</f>
        <v>5.64</v>
      </c>
      <c r="MO3" s="27">
        <f>VLOOKUP(B3,[1]Sheet1!$A:$N,8,0)</f>
        <v>5.9600000000000009</v>
      </c>
      <c r="MP3" s="27">
        <f>VLOOKUP(B3,[1]Sheet1!$A:$N,9,0)</f>
        <v>6.15</v>
      </c>
      <c r="MQ3" s="27">
        <f>VLOOKUP(B3,[1]Sheet1!$A:$N,10,0)</f>
        <v>6.42</v>
      </c>
      <c r="MR3" s="27">
        <f>VLOOKUP(B3,[1]Sheet1!$A:$N,11,0)</f>
        <v>5.7200000000000006</v>
      </c>
      <c r="MS3" s="27">
        <f>VLOOKUP(B3,[1]Sheet1!$A:$N,12,0)</f>
        <v>4.9800000000000004</v>
      </c>
      <c r="MT3" s="27">
        <f>VLOOKUP(B3,[1]Sheet1!$A:$N,13,0)</f>
        <v>3.65</v>
      </c>
      <c r="MU3" s="27">
        <f>VLOOKUP(B3,[1]Sheet1!$A:$N,14,0)</f>
        <v>3.64</v>
      </c>
    </row>
    <row r="4" spans="1:360" s="27" customFormat="1" ht="18.75" customHeight="1" x14ac:dyDescent="0.25">
      <c r="A4" s="8" t="s">
        <v>0</v>
      </c>
      <c r="B4" s="8">
        <v>10209</v>
      </c>
      <c r="C4" s="9" t="s">
        <v>20</v>
      </c>
      <c r="D4" s="10" t="s">
        <v>26</v>
      </c>
      <c r="E4" s="10" t="s">
        <v>27</v>
      </c>
      <c r="F4" s="11" t="s">
        <v>28</v>
      </c>
      <c r="G4" s="39" t="s">
        <v>1</v>
      </c>
      <c r="H4" s="41">
        <v>41</v>
      </c>
      <c r="I4" s="13" t="s">
        <v>2</v>
      </c>
      <c r="J4" s="28">
        <v>16.16</v>
      </c>
      <c r="K4" s="15">
        <v>16.452317000000001</v>
      </c>
      <c r="L4" s="15">
        <v>80.745650999999995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9">
        <v>2.3199999999999998</v>
      </c>
      <c r="Z4" s="29">
        <v>2.46</v>
      </c>
      <c r="AA4" s="29">
        <v>2.59</v>
      </c>
      <c r="AB4" s="29">
        <v>3.21</v>
      </c>
      <c r="AC4" s="29">
        <v>3.87</v>
      </c>
      <c r="AD4" s="29">
        <v>3.64</v>
      </c>
      <c r="AE4" s="29">
        <v>5.21</v>
      </c>
      <c r="AF4" s="29">
        <v>3.11</v>
      </c>
      <c r="AG4" s="29">
        <v>2.82</v>
      </c>
      <c r="AH4" s="29">
        <v>2.12</v>
      </c>
      <c r="AI4" s="29">
        <v>1.68</v>
      </c>
      <c r="AJ4" s="29">
        <v>1.81</v>
      </c>
      <c r="AK4" s="29">
        <v>1.99</v>
      </c>
      <c r="AL4" s="29">
        <v>2.3199999999999998</v>
      </c>
      <c r="AM4" s="29">
        <v>2.92</v>
      </c>
      <c r="AN4" s="29">
        <v>4.16</v>
      </c>
      <c r="AO4" s="29">
        <v>5.62</v>
      </c>
      <c r="AP4" s="29">
        <v>3.26</v>
      </c>
      <c r="AQ4" s="29">
        <v>3</v>
      </c>
      <c r="AR4" s="29">
        <v>2.16</v>
      </c>
      <c r="AS4" s="29">
        <v>1.04</v>
      </c>
      <c r="AT4" s="29">
        <v>2.69</v>
      </c>
      <c r="AU4" s="29">
        <v>4.83</v>
      </c>
      <c r="AV4" s="29">
        <v>4</v>
      </c>
      <c r="AW4" s="29">
        <v>3.56</v>
      </c>
      <c r="AX4" s="29">
        <v>3.66</v>
      </c>
      <c r="AY4" s="29">
        <v>3.97</v>
      </c>
      <c r="AZ4" s="29">
        <v>4.55</v>
      </c>
      <c r="BA4" s="29">
        <v>5.19</v>
      </c>
      <c r="BB4" s="29">
        <v>5.5</v>
      </c>
      <c r="BC4" s="29">
        <v>3.84</v>
      </c>
      <c r="BD4" s="29">
        <v>2.4300000000000002</v>
      </c>
      <c r="BE4" s="29">
        <v>3.39</v>
      </c>
      <c r="BF4" s="29">
        <v>2.69</v>
      </c>
      <c r="BG4" s="29">
        <v>3.07</v>
      </c>
      <c r="BH4" s="29">
        <v>3.27</v>
      </c>
      <c r="BI4" s="29">
        <v>3.47</v>
      </c>
      <c r="BJ4" s="29">
        <v>3.61</v>
      </c>
      <c r="BK4" s="29">
        <v>3.63</v>
      </c>
      <c r="BL4" s="29">
        <v>4.16</v>
      </c>
      <c r="BM4" s="29">
        <v>5.76</v>
      </c>
      <c r="BN4" s="29">
        <v>5.54</v>
      </c>
      <c r="BO4" s="29">
        <v>6.1</v>
      </c>
      <c r="BP4" s="29">
        <v>5.66</v>
      </c>
      <c r="BQ4" s="29">
        <v>3.08</v>
      </c>
      <c r="BR4" s="29">
        <v>2.21</v>
      </c>
      <c r="BS4" s="29">
        <v>2.74</v>
      </c>
      <c r="BT4" s="29">
        <v>4.0999999999999996</v>
      </c>
      <c r="BU4" s="29">
        <v>3.96</v>
      </c>
      <c r="BV4" s="29">
        <v>4.29</v>
      </c>
      <c r="BW4" s="29">
        <v>4.47</v>
      </c>
      <c r="BX4" s="29">
        <v>4.5599999999999996</v>
      </c>
      <c r="BY4" s="29">
        <v>4.78</v>
      </c>
      <c r="BZ4" s="29">
        <v>5.44</v>
      </c>
      <c r="CA4" s="29">
        <v>5.96</v>
      </c>
      <c r="CB4" s="29">
        <v>6.1</v>
      </c>
      <c r="CC4" s="29">
        <v>4.84</v>
      </c>
      <c r="CD4" s="29">
        <v>3.86</v>
      </c>
      <c r="CE4" s="29">
        <v>3.71</v>
      </c>
      <c r="CF4" s="29">
        <v>4.1399999999999997</v>
      </c>
      <c r="CG4" s="29">
        <v>4.93</v>
      </c>
      <c r="CH4" s="29">
        <v>5.75</v>
      </c>
      <c r="CI4" s="29">
        <v>6.13</v>
      </c>
      <c r="CJ4" s="29">
        <v>6.8</v>
      </c>
      <c r="CK4" s="29">
        <v>7.63</v>
      </c>
      <c r="CL4" s="29">
        <v>8.14</v>
      </c>
      <c r="CM4" s="29">
        <v>8.49</v>
      </c>
      <c r="CN4" s="29">
        <v>8.4700000000000006</v>
      </c>
      <c r="CO4" s="29">
        <v>8.36</v>
      </c>
      <c r="CP4" s="29">
        <v>7.21</v>
      </c>
      <c r="CQ4" s="29">
        <v>6.73</v>
      </c>
      <c r="CR4" s="29">
        <v>6.08</v>
      </c>
      <c r="CS4" s="29">
        <v>6.01</v>
      </c>
      <c r="CT4" s="29">
        <v>6.6</v>
      </c>
      <c r="CU4" s="29">
        <v>7.46</v>
      </c>
      <c r="CV4" s="29">
        <v>8.36</v>
      </c>
      <c r="CW4" s="29">
        <v>8.86</v>
      </c>
      <c r="CX4" s="29">
        <v>9.06</v>
      </c>
      <c r="CY4" s="29">
        <v>9.57</v>
      </c>
      <c r="CZ4" s="29">
        <v>9.18</v>
      </c>
      <c r="DA4" s="29">
        <v>8.51</v>
      </c>
      <c r="DB4" s="29">
        <v>6.66</v>
      </c>
      <c r="DC4" s="29">
        <v>5.84</v>
      </c>
      <c r="DD4" s="29">
        <v>5.38</v>
      </c>
      <c r="DE4" s="29">
        <v>5.92</v>
      </c>
      <c r="DF4" s="29">
        <v>6.42</v>
      </c>
      <c r="DG4" s="29">
        <v>7.22</v>
      </c>
      <c r="DH4" s="29">
        <v>8.16</v>
      </c>
      <c r="DI4" s="29">
        <v>8.64</v>
      </c>
      <c r="DJ4" s="29">
        <v>9.39</v>
      </c>
      <c r="DK4" s="29">
        <v>9.5399999999999991</v>
      </c>
      <c r="DL4" s="29">
        <v>8.6</v>
      </c>
      <c r="DM4" s="29">
        <v>5.97</v>
      </c>
      <c r="DN4" s="29">
        <v>4.03</v>
      </c>
      <c r="DO4" s="29">
        <v>3.52</v>
      </c>
      <c r="DP4" s="29">
        <v>4.09</v>
      </c>
      <c r="DQ4" s="29">
        <v>4.97</v>
      </c>
      <c r="DR4" s="29">
        <v>5.29</v>
      </c>
      <c r="DS4" s="29">
        <v>5</v>
      </c>
      <c r="DT4" s="29">
        <v>5.26</v>
      </c>
      <c r="DU4" s="29">
        <v>5.57</v>
      </c>
      <c r="DV4" s="29">
        <v>6.32</v>
      </c>
      <c r="DW4" s="29">
        <v>6.48</v>
      </c>
      <c r="DX4" s="29">
        <v>5.97</v>
      </c>
      <c r="DY4" s="29">
        <v>3.54</v>
      </c>
      <c r="DZ4" s="29">
        <v>3.65</v>
      </c>
      <c r="EA4" s="29">
        <v>2.0299999999999998</v>
      </c>
      <c r="EB4" s="29">
        <v>3.61</v>
      </c>
      <c r="EC4" s="29">
        <v>4.22</v>
      </c>
      <c r="ED4" s="29">
        <v>4.3810000000000002</v>
      </c>
      <c r="EE4" s="29">
        <v>4.6399999999999997</v>
      </c>
      <c r="EF4" s="29">
        <v>4.87</v>
      </c>
      <c r="EG4" s="29">
        <v>5.46</v>
      </c>
      <c r="EH4" s="29">
        <v>6.93</v>
      </c>
      <c r="EI4" s="29">
        <v>6.94</v>
      </c>
      <c r="EJ4" s="29">
        <v>5.81</v>
      </c>
      <c r="EK4" s="29">
        <v>4</v>
      </c>
      <c r="EL4" s="29">
        <v>2.88</v>
      </c>
      <c r="EM4" s="29">
        <v>3.23</v>
      </c>
      <c r="EN4" s="29">
        <v>9.35</v>
      </c>
      <c r="EO4" s="29">
        <v>4.5</v>
      </c>
      <c r="EP4" s="29">
        <v>4.5599999999999996</v>
      </c>
      <c r="EQ4" s="29">
        <v>4.75</v>
      </c>
      <c r="ER4" s="29">
        <v>4.3499999999999996</v>
      </c>
      <c r="ES4" s="29">
        <v>5.43</v>
      </c>
      <c r="ET4" s="29">
        <v>5.25</v>
      </c>
      <c r="EU4" s="29">
        <v>6.16</v>
      </c>
      <c r="EV4" s="29">
        <v>3.85</v>
      </c>
      <c r="EW4" s="29">
        <v>3.88</v>
      </c>
      <c r="EX4" s="29">
        <v>3.82</v>
      </c>
      <c r="EY4" s="29">
        <v>3.35</v>
      </c>
      <c r="EZ4" s="29">
        <v>3.96</v>
      </c>
      <c r="FA4" s="29">
        <v>5.0199999999999996</v>
      </c>
      <c r="FB4" s="29">
        <v>5.7</v>
      </c>
      <c r="FC4" s="29">
        <v>5.94</v>
      </c>
      <c r="FD4" s="29">
        <v>6.16</v>
      </c>
      <c r="FE4" s="29">
        <v>6.58</v>
      </c>
      <c r="FF4" s="29">
        <v>7.54</v>
      </c>
      <c r="FG4" s="29">
        <v>7.8</v>
      </c>
      <c r="FH4" s="29">
        <v>7.29</v>
      </c>
      <c r="FI4" s="29">
        <v>6.56</v>
      </c>
      <c r="FJ4" s="29">
        <v>5.31</v>
      </c>
      <c r="FK4" s="29">
        <v>4.13</v>
      </c>
      <c r="FL4" s="29">
        <v>4.6100000000000003</v>
      </c>
      <c r="FM4" s="29">
        <v>5.26</v>
      </c>
      <c r="FN4" s="29">
        <v>6.32</v>
      </c>
      <c r="FO4" s="29">
        <v>6.91</v>
      </c>
      <c r="FP4" s="29">
        <v>6.83</v>
      </c>
      <c r="FQ4" s="29">
        <v>7.13</v>
      </c>
      <c r="FR4" s="29">
        <v>7.81</v>
      </c>
      <c r="FS4" s="29">
        <v>7.76</v>
      </c>
      <c r="FT4" s="29">
        <v>6.31</v>
      </c>
      <c r="FU4" s="29">
        <v>4.29</v>
      </c>
      <c r="FV4" s="29">
        <v>3.76</v>
      </c>
      <c r="FW4" s="29">
        <v>3.74</v>
      </c>
      <c r="FX4" s="29">
        <v>4.3099999999999996</v>
      </c>
      <c r="FY4" s="29">
        <v>5.31</v>
      </c>
      <c r="FZ4" s="29">
        <v>6.21</v>
      </c>
      <c r="GA4" s="29">
        <v>6.76</v>
      </c>
      <c r="GB4" s="29">
        <v>6.87</v>
      </c>
      <c r="GC4" s="29">
        <v>7.44</v>
      </c>
      <c r="GD4" s="29">
        <v>8.06</v>
      </c>
      <c r="GE4" s="29">
        <v>7.86</v>
      </c>
      <c r="GF4" s="29">
        <v>7.18</v>
      </c>
      <c r="GG4" s="29">
        <v>6.48</v>
      </c>
      <c r="GH4" s="29">
        <v>5.96</v>
      </c>
      <c r="GI4" s="29">
        <v>5.57</v>
      </c>
      <c r="GJ4" s="29">
        <v>6.38</v>
      </c>
      <c r="GK4" s="29">
        <v>6.5</v>
      </c>
      <c r="GL4" s="29">
        <v>8.06</v>
      </c>
      <c r="GM4" s="29">
        <v>8.81</v>
      </c>
      <c r="GN4" s="29">
        <v>9.16</v>
      </c>
      <c r="GO4" s="29">
        <v>9.01</v>
      </c>
      <c r="GP4" s="29">
        <v>9.4600000000000009</v>
      </c>
      <c r="GQ4" s="29">
        <v>9.49</v>
      </c>
      <c r="GR4" s="29">
        <v>8.9600000000000009</v>
      </c>
      <c r="GS4" s="29">
        <v>8.01</v>
      </c>
      <c r="GT4" s="29">
        <v>7.47</v>
      </c>
      <c r="GU4" s="29">
        <v>6.76</v>
      </c>
      <c r="GV4" s="29">
        <v>6.98</v>
      </c>
      <c r="GW4" s="29">
        <v>7.4</v>
      </c>
      <c r="GX4" s="29">
        <v>8.1</v>
      </c>
      <c r="GY4" s="29">
        <v>8.2200000000000006</v>
      </c>
      <c r="GZ4" s="29">
        <v>9.6</v>
      </c>
      <c r="HA4" s="29">
        <v>9.6999999999999993</v>
      </c>
      <c r="HB4" s="29">
        <v>9.85</v>
      </c>
      <c r="HC4" s="29">
        <v>9.9700000000000006</v>
      </c>
      <c r="HD4" s="29">
        <v>10.23</v>
      </c>
      <c r="HE4" s="29">
        <v>9.25</v>
      </c>
      <c r="HF4" s="29">
        <v>7.23</v>
      </c>
      <c r="HG4" s="29">
        <v>6.11</v>
      </c>
      <c r="HH4" s="29">
        <v>5.71</v>
      </c>
      <c r="HI4" s="29">
        <v>7.06</v>
      </c>
      <c r="HJ4" s="29">
        <v>8.18</v>
      </c>
      <c r="HK4" s="29">
        <v>8.7899999999999991</v>
      </c>
      <c r="HL4" s="29">
        <v>9.25</v>
      </c>
      <c r="HM4" s="29">
        <v>9.23</v>
      </c>
      <c r="HN4" s="29">
        <v>9.41</v>
      </c>
      <c r="HO4" s="29">
        <v>9.9499999999999993</v>
      </c>
      <c r="HP4" s="29">
        <v>10.68</v>
      </c>
      <c r="HQ4" s="29">
        <v>10.15</v>
      </c>
      <c r="HR4" s="29">
        <v>8.9600000000000009</v>
      </c>
      <c r="HS4" s="29">
        <v>8.25</v>
      </c>
      <c r="HT4" s="29">
        <v>8.5500000000000007</v>
      </c>
      <c r="HU4" s="29">
        <v>8.64</v>
      </c>
      <c r="HV4" s="29">
        <v>10.7</v>
      </c>
      <c r="HW4" s="29">
        <v>11.45</v>
      </c>
      <c r="HX4" s="29">
        <v>12.1</v>
      </c>
      <c r="HY4" s="29">
        <v>12.12</v>
      </c>
      <c r="HZ4" s="29">
        <v>12.25</v>
      </c>
      <c r="IA4" s="29">
        <v>12.32</v>
      </c>
      <c r="IB4" s="29">
        <v>12.08</v>
      </c>
      <c r="IC4" s="29">
        <v>12.13</v>
      </c>
      <c r="ID4" s="29">
        <v>13.5</v>
      </c>
      <c r="IE4" s="29">
        <v>13.71</v>
      </c>
      <c r="IF4" s="29">
        <v>13.48</v>
      </c>
      <c r="IG4" s="29">
        <v>14</v>
      </c>
      <c r="IH4" s="29">
        <v>14.73</v>
      </c>
      <c r="II4" s="29">
        <v>14.73</v>
      </c>
      <c r="IJ4" s="29">
        <v>15.11</v>
      </c>
      <c r="IK4" s="29">
        <v>15.2</v>
      </c>
      <c r="IL4" s="29">
        <v>14.61</v>
      </c>
      <c r="IM4" s="29">
        <v>14.67</v>
      </c>
      <c r="IN4" s="29">
        <v>14.75</v>
      </c>
      <c r="IO4" s="29">
        <v>14.23</v>
      </c>
      <c r="IP4" s="29">
        <v>13.88</v>
      </c>
      <c r="IQ4" s="29">
        <v>13.69</v>
      </c>
      <c r="IR4" s="29">
        <v>13.5</v>
      </c>
      <c r="IS4" s="29">
        <v>14.36</v>
      </c>
      <c r="IT4" s="29">
        <v>14.84</v>
      </c>
      <c r="IU4" s="29">
        <v>15.49</v>
      </c>
      <c r="IV4" s="29">
        <v>15.43</v>
      </c>
      <c r="IW4" s="18">
        <v>15.48</v>
      </c>
      <c r="IX4" s="18">
        <v>15.15</v>
      </c>
      <c r="IY4" s="18">
        <v>15.25</v>
      </c>
      <c r="IZ4" s="19">
        <v>15.22</v>
      </c>
      <c r="JA4" s="20">
        <v>15.06</v>
      </c>
      <c r="JB4" s="20">
        <v>14.87</v>
      </c>
      <c r="JC4" s="20">
        <v>14.73</v>
      </c>
      <c r="JD4" s="20">
        <v>14.53</v>
      </c>
      <c r="JE4" s="20">
        <v>15.24</v>
      </c>
      <c r="JF4" s="21">
        <v>15.84</v>
      </c>
      <c r="JG4" s="22">
        <v>16.57</v>
      </c>
      <c r="JH4" s="22">
        <v>16.63</v>
      </c>
      <c r="JI4" s="20">
        <v>16.66</v>
      </c>
      <c r="JJ4" s="23">
        <v>16.68</v>
      </c>
      <c r="JK4" s="24">
        <v>16.649999999999999</v>
      </c>
      <c r="JL4" s="24">
        <v>16.21</v>
      </c>
      <c r="JM4" s="25">
        <v>15.68</v>
      </c>
      <c r="JN4" s="25">
        <v>15.62</v>
      </c>
      <c r="JO4" s="17">
        <v>15.07</v>
      </c>
      <c r="JP4" s="17">
        <v>15.35</v>
      </c>
      <c r="JQ4" s="25">
        <v>15.97</v>
      </c>
      <c r="JR4" s="25">
        <v>16.440000000000001</v>
      </c>
      <c r="JS4" s="25">
        <v>16.989999999999998</v>
      </c>
      <c r="JT4" s="25">
        <v>16.690000000000001</v>
      </c>
      <c r="JU4" s="17">
        <v>18.18</v>
      </c>
      <c r="JV4" s="18">
        <v>17.579999999999998</v>
      </c>
      <c r="JW4" s="18">
        <v>17.61</v>
      </c>
      <c r="JX4" s="18">
        <v>17.3</v>
      </c>
      <c r="JY4" s="18">
        <v>16.61</v>
      </c>
      <c r="JZ4" s="18">
        <v>16.03</v>
      </c>
      <c r="KA4" s="18">
        <v>15.74</v>
      </c>
      <c r="KB4" s="18">
        <v>16.100000000000001</v>
      </c>
      <c r="KC4" s="18">
        <v>16.47</v>
      </c>
      <c r="KD4" s="18">
        <v>16.809999999999999</v>
      </c>
      <c r="KE4" s="18">
        <v>17.149999999999999</v>
      </c>
      <c r="KF4" s="18">
        <v>17.489999999999998</v>
      </c>
      <c r="KG4" s="18">
        <v>17.829999999999998</v>
      </c>
      <c r="KH4" s="26">
        <v>17.43</v>
      </c>
      <c r="KI4" s="26">
        <v>17.32</v>
      </c>
      <c r="KJ4" s="26">
        <v>16.96</v>
      </c>
      <c r="KK4" s="26">
        <v>16.600000000000001</v>
      </c>
      <c r="KL4" s="18">
        <v>15.780000000000001</v>
      </c>
      <c r="KM4" s="26">
        <v>15.190000000000001</v>
      </c>
      <c r="KN4" s="18">
        <v>15.43</v>
      </c>
      <c r="KO4" s="18">
        <v>15.379999999999999</v>
      </c>
      <c r="KP4" s="18">
        <v>16.03</v>
      </c>
      <c r="KQ4" s="18">
        <v>16.43</v>
      </c>
      <c r="KR4" s="18">
        <v>16.96</v>
      </c>
      <c r="KS4" s="18">
        <v>16.43</v>
      </c>
      <c r="KT4" s="18">
        <v>15.89</v>
      </c>
      <c r="KU4" s="26">
        <v>16.13</v>
      </c>
      <c r="KV4" s="18">
        <v>16.350000000000001</v>
      </c>
      <c r="KW4" s="17">
        <v>15.600000000000001</v>
      </c>
      <c r="KX4" s="17">
        <v>13.610000000000001</v>
      </c>
      <c r="KY4" s="18">
        <v>13.48</v>
      </c>
      <c r="KZ4" s="17">
        <v>14.34</v>
      </c>
      <c r="LA4" s="17">
        <v>14.290000000000001</v>
      </c>
      <c r="LB4" s="17">
        <v>14.610000000000001</v>
      </c>
      <c r="LC4" s="17">
        <v>15.120000000000001</v>
      </c>
      <c r="LD4" s="17">
        <v>15.91</v>
      </c>
      <c r="LE4" s="17">
        <v>15.170000000000002</v>
      </c>
      <c r="LF4" s="17">
        <v>15.379999999999999</v>
      </c>
      <c r="LG4" s="18">
        <v>14.36</v>
      </c>
      <c r="LH4" s="18">
        <v>14.85</v>
      </c>
      <c r="LI4" s="18">
        <v>14.66</v>
      </c>
      <c r="LJ4" s="18">
        <v>13.88</v>
      </c>
      <c r="LK4" s="18">
        <v>13.84</v>
      </c>
      <c r="LL4" s="18">
        <v>13.98</v>
      </c>
      <c r="LM4" s="18">
        <v>14.31</v>
      </c>
      <c r="LN4" s="18">
        <v>14.52</v>
      </c>
      <c r="LO4" s="18">
        <v>15.3</v>
      </c>
      <c r="LP4" s="18">
        <v>15.530000000000001</v>
      </c>
      <c r="LQ4" s="18">
        <v>15.280000000000001</v>
      </c>
      <c r="LR4" s="18">
        <v>15.420000000000002</v>
      </c>
      <c r="LS4" s="18">
        <v>15.5</v>
      </c>
      <c r="LT4" s="18">
        <v>15.649999999999999</v>
      </c>
      <c r="LU4" s="18">
        <v>15.17</v>
      </c>
      <c r="LV4" s="17">
        <v>15.5</v>
      </c>
      <c r="LW4" s="17">
        <v>15.200000000000001</v>
      </c>
      <c r="LX4" s="17">
        <v>14.56</v>
      </c>
      <c r="LY4" s="17">
        <v>15.319999999999999</v>
      </c>
      <c r="LZ4" s="17">
        <v>15.639999999999999</v>
      </c>
      <c r="MA4" s="17">
        <v>16.399999999999999</v>
      </c>
      <c r="MB4" s="17">
        <v>16.8</v>
      </c>
      <c r="MC4" s="17">
        <v>16.850000000000001</v>
      </c>
      <c r="MD4" s="17">
        <v>16.39</v>
      </c>
      <c r="ME4" s="17">
        <v>16.360000000000003</v>
      </c>
      <c r="MF4" s="17">
        <v>15.6</v>
      </c>
      <c r="MG4" s="17">
        <v>14.6</v>
      </c>
      <c r="MH4" s="17">
        <v>14.18</v>
      </c>
      <c r="MI4" s="17">
        <v>14.299999999999999</v>
      </c>
      <c r="MJ4" s="17">
        <v>14.5</v>
      </c>
      <c r="MK4" s="17">
        <v>14.7</v>
      </c>
      <c r="ML4" s="17">
        <v>15.44</v>
      </c>
      <c r="MM4" s="27">
        <v>16.05</v>
      </c>
      <c r="MN4" s="27">
        <f>VLOOKUP(B4,[1]Sheet1!$A:$N,7,0)</f>
        <v>16.260000000000002</v>
      </c>
      <c r="MO4" s="27">
        <f>VLOOKUP(B4,[1]Sheet1!$A:$N,8,0)</f>
        <v>15.6</v>
      </c>
      <c r="MP4" s="27">
        <f>VLOOKUP(B4,[1]Sheet1!$A:$N,9,0)</f>
        <v>15.9</v>
      </c>
      <c r="MQ4" s="27">
        <f>VLOOKUP(B4,[1]Sheet1!$A:$N,10,0)</f>
        <v>16.110000000000003</v>
      </c>
      <c r="MR4" s="27">
        <f>VLOOKUP(B4,[1]Sheet1!$A:$N,11,0)</f>
        <v>15.53</v>
      </c>
      <c r="MS4" s="27">
        <f>VLOOKUP(B4,[1]Sheet1!$A:$N,12,0)</f>
        <v>15.42</v>
      </c>
      <c r="MT4" s="27">
        <f>VLOOKUP(B4,[1]Sheet1!$A:$N,13,0)</f>
        <v>15.31</v>
      </c>
      <c r="MU4" s="27">
        <f>VLOOKUP(B4,[1]Sheet1!$A:$N,14,0)</f>
        <v>13.81</v>
      </c>
    </row>
    <row r="5" spans="1:360" s="27" customFormat="1" ht="18.75" customHeight="1" x14ac:dyDescent="0.25">
      <c r="A5" s="8" t="s">
        <v>0</v>
      </c>
      <c r="B5" s="8">
        <v>10210</v>
      </c>
      <c r="C5" s="9" t="s">
        <v>20</v>
      </c>
      <c r="D5" s="10" t="s">
        <v>29</v>
      </c>
      <c r="E5" s="10" t="s">
        <v>29</v>
      </c>
      <c r="F5" s="39" t="s">
        <v>30</v>
      </c>
      <c r="G5" s="39" t="s">
        <v>1</v>
      </c>
      <c r="H5" s="41">
        <v>8</v>
      </c>
      <c r="I5" s="39" t="s">
        <v>7</v>
      </c>
      <c r="J5" s="10"/>
      <c r="K5" s="10">
        <v>16.009083</v>
      </c>
      <c r="L5" s="10">
        <v>81.034392999999994</v>
      </c>
      <c r="M5" s="30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>
        <v>0.71</v>
      </c>
      <c r="HC5" s="1">
        <v>1.75</v>
      </c>
      <c r="HD5" s="1">
        <v>0.72</v>
      </c>
      <c r="HE5" s="1">
        <v>0.45</v>
      </c>
      <c r="HF5" s="1">
        <v>0.03</v>
      </c>
      <c r="HG5" s="1">
        <v>0.34</v>
      </c>
      <c r="HH5" s="1">
        <v>1.59</v>
      </c>
      <c r="HI5" s="1">
        <v>0.69</v>
      </c>
      <c r="HJ5" s="1">
        <v>0.72</v>
      </c>
      <c r="HK5" s="1">
        <v>0.74</v>
      </c>
      <c r="HL5" s="1">
        <v>0.8</v>
      </c>
      <c r="HM5" s="1">
        <v>1.1499999999999999</v>
      </c>
      <c r="HN5" s="1">
        <v>1.41</v>
      </c>
      <c r="HO5" s="1">
        <v>1.53</v>
      </c>
      <c r="HP5" s="1">
        <v>1.3149999999999999</v>
      </c>
      <c r="HQ5" s="1">
        <v>1.1000000000000001</v>
      </c>
      <c r="HR5" s="1">
        <v>0.4</v>
      </c>
      <c r="HS5" s="31">
        <v>0.35</v>
      </c>
      <c r="HT5" s="1">
        <v>0.7</v>
      </c>
      <c r="HU5" s="1">
        <v>0.8</v>
      </c>
      <c r="HV5" s="1">
        <v>0.96</v>
      </c>
      <c r="HW5" s="1">
        <v>1.1499999999999999</v>
      </c>
      <c r="HX5" s="1">
        <v>1.38</v>
      </c>
      <c r="HY5" s="1">
        <v>1.45</v>
      </c>
      <c r="HZ5" s="1">
        <v>0.6</v>
      </c>
      <c r="IA5" s="1">
        <v>1.1200000000000001</v>
      </c>
      <c r="IB5" s="1">
        <v>0.89</v>
      </c>
      <c r="IC5" s="1">
        <v>0.5</v>
      </c>
      <c r="ID5" s="1">
        <v>0.99</v>
      </c>
      <c r="IE5" s="1">
        <v>0.93</v>
      </c>
      <c r="IF5" s="1">
        <v>0.96</v>
      </c>
      <c r="IG5" s="1">
        <v>1.27</v>
      </c>
      <c r="IH5" s="1">
        <v>1.54</v>
      </c>
      <c r="II5" s="1">
        <v>1.71</v>
      </c>
      <c r="IJ5" s="1">
        <v>1.9410000000000001</v>
      </c>
      <c r="IK5" s="1">
        <v>1.89</v>
      </c>
      <c r="IL5" s="1">
        <v>1.3120000000000001</v>
      </c>
      <c r="IM5" s="1">
        <v>0.746</v>
      </c>
      <c r="IN5" s="1">
        <v>0.02</v>
      </c>
      <c r="IO5" s="1">
        <v>1.07</v>
      </c>
      <c r="IP5" s="1">
        <v>0.68</v>
      </c>
      <c r="IQ5" s="1">
        <v>0.77900000000000003</v>
      </c>
      <c r="IR5" s="1">
        <v>0.77600000000000002</v>
      </c>
      <c r="IS5" s="1">
        <v>0.94</v>
      </c>
      <c r="IT5" s="1">
        <v>1.159</v>
      </c>
      <c r="IU5" s="1">
        <v>1.353</v>
      </c>
      <c r="IV5" s="1">
        <v>1.573</v>
      </c>
      <c r="IW5" s="1">
        <v>1.72</v>
      </c>
      <c r="IX5" s="1">
        <v>1.6160000000000001</v>
      </c>
      <c r="IY5" s="1">
        <v>1.3839999999999999</v>
      </c>
      <c r="IZ5" s="1">
        <v>0.875</v>
      </c>
      <c r="JA5" s="1">
        <v>0.69199999999999995</v>
      </c>
      <c r="JB5" s="1">
        <v>0.67400000000000004</v>
      </c>
      <c r="JC5" s="1">
        <v>0.81100000000000005</v>
      </c>
      <c r="JD5" s="1">
        <v>0.91400000000000003</v>
      </c>
      <c r="JE5" s="1">
        <v>1.093</v>
      </c>
      <c r="JF5" s="1">
        <v>1.26</v>
      </c>
      <c r="JG5" s="1">
        <v>1.4610000000000001</v>
      </c>
      <c r="JH5" s="1">
        <v>1.556</v>
      </c>
      <c r="JI5" s="1">
        <v>1.78</v>
      </c>
      <c r="JJ5" s="1">
        <v>1.573</v>
      </c>
      <c r="JK5" s="1">
        <v>1.44</v>
      </c>
      <c r="JL5" s="1">
        <v>0.73599999999999999</v>
      </c>
      <c r="JM5" s="1">
        <v>0.75900000000000001</v>
      </c>
      <c r="JN5" s="1">
        <v>0.88200000000000001</v>
      </c>
      <c r="JO5" s="1">
        <v>0.878</v>
      </c>
      <c r="JP5" s="1">
        <v>0.76</v>
      </c>
      <c r="JQ5" s="1">
        <v>0.83299999999999996</v>
      </c>
      <c r="JR5" s="1">
        <v>1.0589999999999999</v>
      </c>
      <c r="JS5" s="1">
        <v>1.3120000000000001</v>
      </c>
      <c r="JT5" s="1">
        <v>1.421</v>
      </c>
      <c r="JU5" s="1">
        <v>1.532</v>
      </c>
      <c r="JV5" s="1">
        <v>1.6536999999999999</v>
      </c>
      <c r="JW5" s="1">
        <v>1.04</v>
      </c>
      <c r="JX5" s="1">
        <v>0.74</v>
      </c>
      <c r="JY5" s="1">
        <v>0.3</v>
      </c>
      <c r="JZ5" s="1">
        <v>0.5</v>
      </c>
      <c r="KA5" s="1">
        <v>0.36670000000000003</v>
      </c>
      <c r="KB5" s="1">
        <v>0.92169999999999996</v>
      </c>
      <c r="KC5" s="1">
        <v>1.0427</v>
      </c>
      <c r="KD5" s="1">
        <v>1.2087000000000001</v>
      </c>
      <c r="KE5" s="1">
        <v>1.3787</v>
      </c>
      <c r="KF5" s="1">
        <v>1.26</v>
      </c>
      <c r="KG5" s="1">
        <v>1.1399999999999999</v>
      </c>
      <c r="KH5" s="1">
        <v>1.95</v>
      </c>
      <c r="KI5" s="1">
        <v>1.4</v>
      </c>
      <c r="KJ5" s="1">
        <v>0.57999999999999996</v>
      </c>
      <c r="KK5" s="1">
        <v>0.43</v>
      </c>
      <c r="KL5" s="1">
        <v>0.17</v>
      </c>
      <c r="KM5" s="1">
        <v>0.23</v>
      </c>
      <c r="KN5" s="1">
        <v>0.53</v>
      </c>
      <c r="KO5" s="1">
        <v>0.71</v>
      </c>
      <c r="KP5" s="1">
        <v>0.85</v>
      </c>
      <c r="KQ5" s="1">
        <v>1.01</v>
      </c>
      <c r="KR5" s="1">
        <v>0.97</v>
      </c>
      <c r="KS5" s="1">
        <v>1.03</v>
      </c>
      <c r="KT5" s="1">
        <v>1.17</v>
      </c>
      <c r="KU5" s="1">
        <v>0.63</v>
      </c>
      <c r="KV5" s="1">
        <v>0.48</v>
      </c>
      <c r="KW5" s="1">
        <v>0.17</v>
      </c>
      <c r="KX5" s="1">
        <v>0.22</v>
      </c>
      <c r="KY5" s="1">
        <v>0.03</v>
      </c>
      <c r="KZ5" s="1">
        <v>0.12</v>
      </c>
      <c r="LA5" s="1">
        <v>0.33</v>
      </c>
      <c r="LB5" s="1">
        <v>0.45</v>
      </c>
      <c r="LC5" s="1">
        <v>0.57999999999999996</v>
      </c>
      <c r="LD5" s="1">
        <v>1.91</v>
      </c>
      <c r="LE5" s="1">
        <v>1.1299999999999999</v>
      </c>
      <c r="LF5" s="1">
        <v>1.1399999999999999</v>
      </c>
      <c r="LG5" s="1">
        <v>0.47</v>
      </c>
      <c r="LH5" s="1">
        <v>0.53</v>
      </c>
      <c r="LI5" s="1">
        <v>1.61</v>
      </c>
      <c r="LJ5" s="1">
        <v>0.63</v>
      </c>
      <c r="LK5" s="1">
        <v>0.86</v>
      </c>
      <c r="LL5" s="1">
        <v>0.93</v>
      </c>
      <c r="LM5" s="1">
        <v>1.02</v>
      </c>
      <c r="LN5" s="1">
        <v>1.27</v>
      </c>
      <c r="LO5" s="1">
        <v>1.22</v>
      </c>
      <c r="LP5" s="1">
        <v>1.1200000000000001</v>
      </c>
      <c r="LQ5" s="1">
        <v>1.33</v>
      </c>
      <c r="LR5" s="1">
        <v>1.57</v>
      </c>
      <c r="LS5" s="1">
        <v>0.9</v>
      </c>
      <c r="LT5" s="1">
        <v>1.05</v>
      </c>
      <c r="LU5" s="1">
        <v>0.74</v>
      </c>
      <c r="LV5" s="1">
        <v>0.91</v>
      </c>
      <c r="LW5" s="1">
        <v>0.57999999999999996</v>
      </c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27">
        <v>1.25</v>
      </c>
      <c r="MN5" s="27">
        <f>VLOOKUP(B5,[1]Sheet1!$A:$N,7,0)</f>
        <v>1.53</v>
      </c>
      <c r="MO5" s="27">
        <f>VLOOKUP(B5,[1]Sheet1!$A:$N,8,0)</f>
        <v>1.1499999999999999</v>
      </c>
      <c r="MP5" s="27">
        <f>VLOOKUP(B5,[1]Sheet1!$A:$N,9,0)</f>
        <v>0.89</v>
      </c>
      <c r="MQ5" s="27">
        <f>VLOOKUP(B5,[1]Sheet1!$A:$N,10,0)</f>
        <v>1.3199999999999998</v>
      </c>
      <c r="MR5" s="27">
        <f>VLOOKUP(B5,[1]Sheet1!$A:$N,11,0)</f>
        <v>1.1200000000000001</v>
      </c>
      <c r="MS5" s="27">
        <f>VLOOKUP(B5,[1]Sheet1!$A:$N,12,0)</f>
        <v>0.08</v>
      </c>
      <c r="MT5" s="27">
        <f>VLOOKUP(B5,[1]Sheet1!$A:$N,13,0)</f>
        <v>0</v>
      </c>
      <c r="MU5" s="27">
        <f>VLOOKUP(B5,[1]Sheet1!$A:$N,14,0)</f>
        <v>0.42000000000000004</v>
      </c>
    </row>
    <row r="6" spans="1:360" s="27" customFormat="1" ht="18.75" customHeight="1" x14ac:dyDescent="0.25">
      <c r="A6" s="8" t="s">
        <v>0</v>
      </c>
      <c r="B6" s="8">
        <v>10211</v>
      </c>
      <c r="C6" s="9" t="s">
        <v>20</v>
      </c>
      <c r="D6" s="10" t="s">
        <v>31</v>
      </c>
      <c r="E6" s="10" t="s">
        <v>32</v>
      </c>
      <c r="F6" s="11" t="s">
        <v>30</v>
      </c>
      <c r="G6" s="39" t="s">
        <v>1</v>
      </c>
      <c r="H6" s="41">
        <v>8</v>
      </c>
      <c r="I6" s="13" t="s">
        <v>2</v>
      </c>
      <c r="J6" s="28">
        <v>5.2</v>
      </c>
      <c r="K6" s="15">
        <v>16.085125999999999</v>
      </c>
      <c r="L6" s="15">
        <v>80.952427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29">
        <v>1.1000000000000001</v>
      </c>
      <c r="EP6" s="29">
        <v>1.26</v>
      </c>
      <c r="EQ6" s="29">
        <v>0.89</v>
      </c>
      <c r="ER6" s="29">
        <v>1.03</v>
      </c>
      <c r="ES6" s="29">
        <v>1.87</v>
      </c>
      <c r="ET6" s="29">
        <v>2.13</v>
      </c>
      <c r="EU6" s="29">
        <v>1</v>
      </c>
      <c r="EV6" s="29">
        <v>0.66</v>
      </c>
      <c r="EW6" s="29">
        <v>0.69</v>
      </c>
      <c r="EX6" s="29">
        <v>0.61</v>
      </c>
      <c r="EY6" s="29">
        <v>0.66</v>
      </c>
      <c r="EZ6" s="29">
        <v>1.08</v>
      </c>
      <c r="FA6" s="29">
        <v>0.92</v>
      </c>
      <c r="FB6" s="29">
        <v>1.3</v>
      </c>
      <c r="FC6" s="29">
        <v>1.58</v>
      </c>
      <c r="FD6" s="29">
        <v>1.33</v>
      </c>
      <c r="FE6" s="29">
        <v>1.6</v>
      </c>
      <c r="FF6" s="29">
        <v>1.78</v>
      </c>
      <c r="FG6" s="29">
        <v>1.47</v>
      </c>
      <c r="FH6" s="29">
        <v>0.71</v>
      </c>
      <c r="FI6" s="29">
        <v>0.67</v>
      </c>
      <c r="FJ6" s="29">
        <v>0.5</v>
      </c>
      <c r="FK6" s="29">
        <v>0.7</v>
      </c>
      <c r="FL6" s="29">
        <v>1.1200000000000001</v>
      </c>
      <c r="FM6" s="29">
        <v>1.35</v>
      </c>
      <c r="FN6" s="29">
        <v>1.74</v>
      </c>
      <c r="FO6" s="29">
        <v>1.9</v>
      </c>
      <c r="FP6" s="29">
        <v>1.44</v>
      </c>
      <c r="FQ6" s="29">
        <v>1.73</v>
      </c>
      <c r="FR6" s="29">
        <v>1.4</v>
      </c>
      <c r="FS6" s="29">
        <v>0.85</v>
      </c>
      <c r="FT6" s="29">
        <v>0.4</v>
      </c>
      <c r="FU6" s="29">
        <v>0.45</v>
      </c>
      <c r="FV6" s="29">
        <v>0.6</v>
      </c>
      <c r="FW6" s="29">
        <v>0.65</v>
      </c>
      <c r="FX6" s="29">
        <v>0.95</v>
      </c>
      <c r="FY6" s="29">
        <v>0.71</v>
      </c>
      <c r="FZ6" s="29">
        <v>1.66</v>
      </c>
      <c r="GA6" s="29">
        <v>1.9</v>
      </c>
      <c r="GB6" s="29">
        <v>2.2799999999999998</v>
      </c>
      <c r="GC6" s="29">
        <v>2.33</v>
      </c>
      <c r="GD6" s="29">
        <v>2.3199999999999998</v>
      </c>
      <c r="GE6" s="29">
        <v>2</v>
      </c>
      <c r="GF6" s="29">
        <v>0.75</v>
      </c>
      <c r="GG6" s="29">
        <v>0.75</v>
      </c>
      <c r="GH6" s="29">
        <v>0.8</v>
      </c>
      <c r="GI6" s="29">
        <v>1.7</v>
      </c>
      <c r="GJ6" s="29">
        <v>1.3</v>
      </c>
      <c r="GK6" s="29">
        <v>0.7</v>
      </c>
      <c r="GL6" s="29">
        <v>1.7</v>
      </c>
      <c r="GM6" s="29">
        <v>1.95</v>
      </c>
      <c r="GN6" s="29">
        <v>1.7</v>
      </c>
      <c r="GO6" s="29">
        <v>2.0499999999999998</v>
      </c>
      <c r="GP6" s="29">
        <v>2.2999999999999998</v>
      </c>
      <c r="GQ6" s="29">
        <v>2.9</v>
      </c>
      <c r="GR6" s="29">
        <v>1</v>
      </c>
      <c r="GS6" s="29">
        <v>0.73</v>
      </c>
      <c r="GT6" s="29">
        <v>0.7</v>
      </c>
      <c r="GU6" s="29">
        <v>0.7</v>
      </c>
      <c r="GV6" s="29">
        <v>1.2</v>
      </c>
      <c r="GW6" s="29">
        <v>1.4</v>
      </c>
      <c r="GX6" s="29">
        <v>1.7</v>
      </c>
      <c r="GY6" s="29">
        <v>1.9</v>
      </c>
      <c r="GZ6" s="29">
        <v>1.72</v>
      </c>
      <c r="HA6" s="29">
        <v>1.9</v>
      </c>
      <c r="HB6" s="29">
        <v>2.2000000000000002</v>
      </c>
      <c r="HC6" s="29">
        <v>2.2000000000000002</v>
      </c>
      <c r="HD6" s="29">
        <v>0.5</v>
      </c>
      <c r="HE6" s="29">
        <v>0.64</v>
      </c>
      <c r="HF6" s="29">
        <v>0.5</v>
      </c>
      <c r="HG6" s="29">
        <v>0.65</v>
      </c>
      <c r="HH6" s="29">
        <v>1.04</v>
      </c>
      <c r="HI6" s="29">
        <v>1.18</v>
      </c>
      <c r="HJ6" s="29">
        <v>1.44</v>
      </c>
      <c r="HK6" s="29">
        <v>1</v>
      </c>
      <c r="HL6" s="29">
        <v>1.4</v>
      </c>
      <c r="HM6" s="29">
        <v>1.72</v>
      </c>
      <c r="HN6" s="29">
        <v>2.0299999999999998</v>
      </c>
      <c r="HO6" s="29">
        <v>2.2000000000000002</v>
      </c>
      <c r="HP6" s="29">
        <v>1.7</v>
      </c>
      <c r="HQ6" s="29">
        <v>0.85</v>
      </c>
      <c r="HR6" s="29">
        <v>0.55000000000000004</v>
      </c>
      <c r="HS6" s="29">
        <v>0.65</v>
      </c>
      <c r="HT6" s="29">
        <v>0.95</v>
      </c>
      <c r="HU6" s="29">
        <v>1.4</v>
      </c>
      <c r="HV6" s="29">
        <v>1.62</v>
      </c>
      <c r="HW6" s="29">
        <v>2.2000000000000002</v>
      </c>
      <c r="HX6" s="29">
        <v>2.25</v>
      </c>
      <c r="HY6" s="29">
        <v>2.39</v>
      </c>
      <c r="HZ6" s="29">
        <v>1.35</v>
      </c>
      <c r="IA6" s="29">
        <v>0.98</v>
      </c>
      <c r="IB6" s="29">
        <v>0.94</v>
      </c>
      <c r="IC6" s="29">
        <v>0.89</v>
      </c>
      <c r="ID6" s="29">
        <v>1.1499999999999999</v>
      </c>
      <c r="IE6" s="29">
        <v>1.05</v>
      </c>
      <c r="IF6" s="29">
        <v>1.36</v>
      </c>
      <c r="IG6" s="29">
        <v>1.78</v>
      </c>
      <c r="IH6" s="29">
        <v>2.0499999999999998</v>
      </c>
      <c r="II6" s="29">
        <v>2.27</v>
      </c>
      <c r="IJ6" s="29">
        <v>2.65</v>
      </c>
      <c r="IK6" s="29">
        <v>2.77</v>
      </c>
      <c r="IL6" s="29">
        <v>2.06</v>
      </c>
      <c r="IM6" s="29">
        <v>1.87</v>
      </c>
      <c r="IN6" s="29">
        <v>0.65</v>
      </c>
      <c r="IO6" s="29">
        <v>0.74</v>
      </c>
      <c r="IP6" s="29">
        <v>0.75</v>
      </c>
      <c r="IQ6" s="29">
        <v>0.79</v>
      </c>
      <c r="IR6" s="29">
        <v>0.82</v>
      </c>
      <c r="IS6" s="29">
        <v>1.31</v>
      </c>
      <c r="IT6" s="29">
        <v>1.69</v>
      </c>
      <c r="IU6" s="29">
        <v>2</v>
      </c>
      <c r="IV6" s="29">
        <v>2.5499999999999998</v>
      </c>
      <c r="IW6" s="18">
        <v>2.5</v>
      </c>
      <c r="IX6" s="18">
        <v>2.65</v>
      </c>
      <c r="IY6" s="18">
        <v>1.92</v>
      </c>
      <c r="IZ6" s="19">
        <v>0.81</v>
      </c>
      <c r="JA6" s="20">
        <v>0.66</v>
      </c>
      <c r="JB6" s="20">
        <v>0.75</v>
      </c>
      <c r="JC6" s="20">
        <v>0.79</v>
      </c>
      <c r="JD6" s="20">
        <v>1.01</v>
      </c>
      <c r="JE6" s="20">
        <v>0.85</v>
      </c>
      <c r="JF6" s="21">
        <v>0.96</v>
      </c>
      <c r="JG6" s="22">
        <v>2.08</v>
      </c>
      <c r="JH6" s="22">
        <v>2.4</v>
      </c>
      <c r="JI6" s="20">
        <v>2.74</v>
      </c>
      <c r="JJ6" s="23">
        <v>2.75</v>
      </c>
      <c r="JK6" s="24">
        <v>1.38</v>
      </c>
      <c r="JL6" s="24">
        <v>0.76</v>
      </c>
      <c r="JM6" s="25">
        <v>0.78</v>
      </c>
      <c r="JN6" s="25">
        <v>0.86</v>
      </c>
      <c r="JO6" s="17">
        <v>0.82</v>
      </c>
      <c r="JP6" s="17">
        <v>0.72</v>
      </c>
      <c r="JQ6" s="25">
        <v>0.75</v>
      </c>
      <c r="JR6" s="25">
        <v>1.67</v>
      </c>
      <c r="JS6" s="25">
        <v>2.04</v>
      </c>
      <c r="JT6" s="25">
        <v>2.2599999999999998</v>
      </c>
      <c r="JU6" s="17">
        <v>2.6</v>
      </c>
      <c r="JV6" s="18">
        <v>2.79</v>
      </c>
      <c r="JW6" s="18">
        <v>2.14</v>
      </c>
      <c r="JX6" s="18">
        <v>0.98</v>
      </c>
      <c r="JY6" s="18">
        <v>0.6</v>
      </c>
      <c r="JZ6" s="18">
        <v>0.26</v>
      </c>
      <c r="KA6" s="18">
        <v>0.84</v>
      </c>
      <c r="KB6" s="18">
        <v>1.31</v>
      </c>
      <c r="KC6" s="18">
        <v>1.3</v>
      </c>
      <c r="KD6" s="18">
        <v>1.94</v>
      </c>
      <c r="KE6" s="18">
        <v>2.58</v>
      </c>
      <c r="KF6" s="18">
        <v>3.22</v>
      </c>
      <c r="KG6" s="26">
        <v>3.06</v>
      </c>
      <c r="KH6" s="26">
        <v>1.48</v>
      </c>
      <c r="KI6" s="26">
        <v>1.32</v>
      </c>
      <c r="KJ6" s="26">
        <v>1.29</v>
      </c>
      <c r="KK6" s="26">
        <v>0.38</v>
      </c>
      <c r="KL6" s="18">
        <v>0.6100000000000001</v>
      </c>
      <c r="KM6" s="26">
        <v>0.65999999999999992</v>
      </c>
      <c r="KN6" s="18">
        <v>1.06</v>
      </c>
      <c r="KO6" s="18">
        <v>0.95</v>
      </c>
      <c r="KP6" s="18">
        <v>1.41</v>
      </c>
      <c r="KQ6" s="18">
        <v>1.7100000000000002</v>
      </c>
      <c r="KR6" s="18">
        <v>1.9000000000000001</v>
      </c>
      <c r="KS6" s="18">
        <v>1.7100000000000002</v>
      </c>
      <c r="KT6" s="18">
        <v>1.5799999999999998</v>
      </c>
      <c r="KU6" s="26">
        <v>1.26</v>
      </c>
      <c r="KV6" s="18">
        <v>1.01</v>
      </c>
      <c r="KW6" s="17">
        <v>0.52</v>
      </c>
      <c r="KX6" s="17">
        <v>0.49</v>
      </c>
      <c r="KY6" s="18">
        <v>0.28000000000000003</v>
      </c>
      <c r="KZ6" s="17">
        <v>0.41999999999999993</v>
      </c>
      <c r="LA6" s="17">
        <v>0.60000000000000009</v>
      </c>
      <c r="LB6" s="17">
        <v>0.82000000000000006</v>
      </c>
      <c r="LC6" s="17">
        <v>0.97</v>
      </c>
      <c r="LD6" s="17">
        <v>2.8</v>
      </c>
      <c r="LE6" s="17">
        <v>1.4400000000000002</v>
      </c>
      <c r="LF6" s="17">
        <v>1.9400000000000002</v>
      </c>
      <c r="LG6" s="18">
        <v>1.2</v>
      </c>
      <c r="LH6" s="18">
        <v>0.45999999999999996</v>
      </c>
      <c r="LI6" s="18">
        <v>0.51</v>
      </c>
      <c r="LJ6" s="18">
        <v>0.41999999999999993</v>
      </c>
      <c r="LK6" s="18">
        <v>0.77</v>
      </c>
      <c r="LL6" s="18">
        <v>1.1499999999999999</v>
      </c>
      <c r="LM6" s="18">
        <v>0.69</v>
      </c>
      <c r="LN6" s="18">
        <v>0.8899999999999999</v>
      </c>
      <c r="LO6" s="18">
        <v>1.3299999999999998</v>
      </c>
      <c r="LP6" s="18">
        <v>0.79</v>
      </c>
      <c r="LQ6" s="18">
        <v>1.18</v>
      </c>
      <c r="LR6" s="18">
        <v>1.7300000000000002</v>
      </c>
      <c r="LS6" s="18">
        <v>0.3600000000000001</v>
      </c>
      <c r="LT6" s="18">
        <v>0.52</v>
      </c>
      <c r="LU6" s="18">
        <v>0.60000000000000009</v>
      </c>
      <c r="LV6" s="17">
        <v>0.53</v>
      </c>
      <c r="LW6" s="17">
        <v>0.62</v>
      </c>
      <c r="LX6" s="17">
        <v>0.45000000000000007</v>
      </c>
      <c r="LY6" s="17">
        <v>0.94000000000000006</v>
      </c>
      <c r="LZ6" s="17">
        <v>1.48</v>
      </c>
      <c r="MA6" s="17">
        <v>1.85</v>
      </c>
      <c r="MB6" s="17">
        <v>2.1800000000000002</v>
      </c>
      <c r="MC6" s="17">
        <v>2.2200000000000002</v>
      </c>
      <c r="MD6" s="17">
        <v>2.44</v>
      </c>
      <c r="ME6" s="17">
        <v>0.65</v>
      </c>
      <c r="MF6" s="17">
        <v>0.56999999999999995</v>
      </c>
      <c r="MG6" s="17">
        <v>0.25</v>
      </c>
      <c r="MH6" s="17">
        <v>0.56999999999999995</v>
      </c>
      <c r="MI6" s="17">
        <v>0.57999999999999996</v>
      </c>
      <c r="MJ6" s="17">
        <v>0.85</v>
      </c>
      <c r="MK6" s="17">
        <v>0.99999999999999989</v>
      </c>
      <c r="ML6" s="17">
        <v>1.1099999999999999</v>
      </c>
      <c r="MM6" s="27">
        <v>1.22</v>
      </c>
      <c r="MN6" s="27">
        <f>VLOOKUP(B6,[1]Sheet1!$A:$N,7,0)</f>
        <v>2.0099999999999998</v>
      </c>
      <c r="MO6" s="27">
        <f>VLOOKUP(B6,[1]Sheet1!$A:$N,8,0)</f>
        <v>0.56999999999999995</v>
      </c>
      <c r="MP6" s="27">
        <f>VLOOKUP(B6,[1]Sheet1!$A:$N,9,0)</f>
        <v>2.02</v>
      </c>
      <c r="MQ6" s="27">
        <f>VLOOKUP(B6,[1]Sheet1!$A:$N,10,0)</f>
        <v>2.6</v>
      </c>
      <c r="MR6" s="27">
        <f>VLOOKUP(B6,[1]Sheet1!$A:$N,11,0)</f>
        <v>0.39</v>
      </c>
      <c r="MS6" s="27">
        <f>VLOOKUP(B6,[1]Sheet1!$A:$N,12,0)</f>
        <v>0.3</v>
      </c>
      <c r="MT6" s="27">
        <f>VLOOKUP(B6,[1]Sheet1!$A:$N,13,0)</f>
        <v>0.18</v>
      </c>
      <c r="MU6" s="27">
        <f>VLOOKUP(B6,[1]Sheet1!$A:$N,14,0)</f>
        <v>0.67</v>
      </c>
    </row>
    <row r="7" spans="1:360" s="27" customFormat="1" ht="18.75" customHeight="1" x14ac:dyDescent="0.25">
      <c r="A7" s="8" t="s">
        <v>0</v>
      </c>
      <c r="B7" s="8">
        <v>10212</v>
      </c>
      <c r="C7" s="9" t="s">
        <v>20</v>
      </c>
      <c r="D7" s="10" t="s">
        <v>33</v>
      </c>
      <c r="E7" s="10" t="s">
        <v>34</v>
      </c>
      <c r="F7" s="11" t="s">
        <v>35</v>
      </c>
      <c r="G7" s="39" t="s">
        <v>1</v>
      </c>
      <c r="H7" s="41">
        <v>20</v>
      </c>
      <c r="I7" s="13" t="s">
        <v>2</v>
      </c>
      <c r="J7" s="28">
        <v>8.26</v>
      </c>
      <c r="K7" s="15">
        <v>16.257401000000002</v>
      </c>
      <c r="L7" s="15">
        <v>80.913050999999996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8"/>
      <c r="Z7" s="18"/>
      <c r="AA7" s="29">
        <v>2.4</v>
      </c>
      <c r="AB7" s="29">
        <v>2.44</v>
      </c>
      <c r="AC7" s="29">
        <v>2.5299999999999998</v>
      </c>
      <c r="AD7" s="29">
        <v>2.56</v>
      </c>
      <c r="AE7" s="29">
        <v>2.54</v>
      </c>
      <c r="AF7" s="29">
        <v>0.85</v>
      </c>
      <c r="AG7" s="29">
        <v>0.1</v>
      </c>
      <c r="AH7" s="29">
        <v>0.44</v>
      </c>
      <c r="AI7" s="29">
        <v>0.55000000000000004</v>
      </c>
      <c r="AJ7" s="29">
        <v>1</v>
      </c>
      <c r="AK7" s="29">
        <v>1.54</v>
      </c>
      <c r="AL7" s="29">
        <v>1.71</v>
      </c>
      <c r="AM7" s="29">
        <v>1.9</v>
      </c>
      <c r="AN7" s="29">
        <v>2.4</v>
      </c>
      <c r="AO7" s="29">
        <v>3.04</v>
      </c>
      <c r="AP7" s="29">
        <v>2.88</v>
      </c>
      <c r="AQ7" s="29">
        <v>1.7</v>
      </c>
      <c r="AR7" s="29">
        <v>0.9</v>
      </c>
      <c r="AS7" s="29">
        <v>0.65</v>
      </c>
      <c r="AT7" s="29">
        <v>0.64</v>
      </c>
      <c r="AU7" s="29">
        <v>0.63</v>
      </c>
      <c r="AV7" s="29">
        <v>1.29</v>
      </c>
      <c r="AW7" s="29">
        <v>1.77</v>
      </c>
      <c r="AX7" s="29">
        <v>2</v>
      </c>
      <c r="AY7" s="29">
        <v>2.2000000000000002</v>
      </c>
      <c r="AZ7" s="29">
        <v>2.44</v>
      </c>
      <c r="BA7" s="29">
        <v>2.63</v>
      </c>
      <c r="BB7" s="29">
        <v>2</v>
      </c>
      <c r="BC7" s="29">
        <v>1.31</v>
      </c>
      <c r="BD7" s="29">
        <v>0.56000000000000005</v>
      </c>
      <c r="BE7" s="29">
        <v>0.83</v>
      </c>
      <c r="BF7" s="29">
        <v>1.24</v>
      </c>
      <c r="BG7" s="29">
        <v>1.37</v>
      </c>
      <c r="BH7" s="29">
        <v>2.1800000000000002</v>
      </c>
      <c r="BI7" s="29">
        <v>1.82</v>
      </c>
      <c r="BJ7" s="29">
        <v>2.15</v>
      </c>
      <c r="BK7" s="29">
        <v>2.2999999999999998</v>
      </c>
      <c r="BL7" s="29">
        <v>2.41</v>
      </c>
      <c r="BM7" s="29">
        <v>2.97</v>
      </c>
      <c r="BN7" s="29">
        <v>3.16</v>
      </c>
      <c r="BO7" s="29">
        <v>2.68</v>
      </c>
      <c r="BP7" s="29">
        <v>0.75</v>
      </c>
      <c r="BQ7" s="29">
        <v>0.77</v>
      </c>
      <c r="BR7" s="29">
        <v>1.0900000000000001</v>
      </c>
      <c r="BS7" s="29">
        <v>0.68</v>
      </c>
      <c r="BT7" s="29">
        <v>1.72</v>
      </c>
      <c r="BU7" s="29">
        <v>2.14</v>
      </c>
      <c r="BV7" s="29">
        <v>2.29</v>
      </c>
      <c r="BW7" s="29">
        <v>1.1599999999999999</v>
      </c>
      <c r="BX7" s="29">
        <v>1.83</v>
      </c>
      <c r="BY7" s="29">
        <v>2.67</v>
      </c>
      <c r="BZ7" s="29">
        <v>3.03</v>
      </c>
      <c r="CA7" s="29">
        <v>3.12</v>
      </c>
      <c r="CB7" s="29">
        <v>1.07</v>
      </c>
      <c r="CC7" s="29">
        <v>1.21</v>
      </c>
      <c r="CD7" s="29">
        <v>0.75</v>
      </c>
      <c r="CE7" s="29">
        <v>0.89</v>
      </c>
      <c r="CF7" s="29">
        <v>1.72</v>
      </c>
      <c r="CG7" s="29">
        <v>2.62</v>
      </c>
      <c r="CH7" s="29">
        <v>3.09</v>
      </c>
      <c r="CI7" s="29">
        <v>3.37</v>
      </c>
      <c r="CJ7" s="29">
        <v>3.73</v>
      </c>
      <c r="CK7" s="29">
        <v>4.05</v>
      </c>
      <c r="CL7" s="29">
        <v>4.18</v>
      </c>
      <c r="CM7" s="29">
        <v>4.3499999999999996</v>
      </c>
      <c r="CN7" s="29">
        <v>4.51</v>
      </c>
      <c r="CO7" s="29">
        <v>4.8899999999999997</v>
      </c>
      <c r="CP7" s="29">
        <v>2.74</v>
      </c>
      <c r="CQ7" s="29">
        <v>1.4</v>
      </c>
      <c r="CR7" s="29">
        <v>0.05</v>
      </c>
      <c r="CS7" s="29">
        <v>2.14</v>
      </c>
      <c r="CT7" s="29">
        <v>3.25</v>
      </c>
      <c r="CU7" s="29">
        <v>3.87</v>
      </c>
      <c r="CV7" s="29">
        <v>4.3499999999999996</v>
      </c>
      <c r="CW7" s="29">
        <v>4.33</v>
      </c>
      <c r="CX7" s="29">
        <v>4.2699999999999996</v>
      </c>
      <c r="CY7" s="29">
        <v>4.37</v>
      </c>
      <c r="CZ7" s="29">
        <v>4.3600000000000003</v>
      </c>
      <c r="DA7" s="29">
        <v>3.36</v>
      </c>
      <c r="DB7" s="29">
        <v>0.99</v>
      </c>
      <c r="DC7" s="29">
        <v>0.86</v>
      </c>
      <c r="DD7" s="29">
        <v>1.62</v>
      </c>
      <c r="DE7" s="29">
        <v>2.4</v>
      </c>
      <c r="DF7" s="29">
        <v>2.87</v>
      </c>
      <c r="DG7" s="29">
        <v>3.05</v>
      </c>
      <c r="DH7" s="29">
        <v>4.08</v>
      </c>
      <c r="DI7" s="29">
        <v>4.24</v>
      </c>
      <c r="DJ7" s="29">
        <v>4.57</v>
      </c>
      <c r="DK7" s="29">
        <v>4.3</v>
      </c>
      <c r="DL7" s="29">
        <v>1.46</v>
      </c>
      <c r="DM7" s="29">
        <v>0.6</v>
      </c>
      <c r="DN7" s="29">
        <v>0.49</v>
      </c>
      <c r="DO7" s="29">
        <v>0.92</v>
      </c>
      <c r="DP7" s="29">
        <v>1.85</v>
      </c>
      <c r="DQ7" s="29">
        <v>2.04</v>
      </c>
      <c r="DR7" s="29">
        <v>1.9</v>
      </c>
      <c r="DS7" s="29">
        <v>1.75</v>
      </c>
      <c r="DT7" s="29">
        <v>1.6</v>
      </c>
      <c r="DU7" s="29">
        <v>2.7</v>
      </c>
      <c r="DV7" s="29">
        <v>3.24</v>
      </c>
      <c r="DW7" s="29">
        <v>2.08</v>
      </c>
      <c r="DX7" s="29">
        <v>1.01</v>
      </c>
      <c r="DY7" s="29">
        <v>0.43</v>
      </c>
      <c r="DZ7" s="29">
        <v>0.88</v>
      </c>
      <c r="EA7" s="29">
        <v>0.76000009999999996</v>
      </c>
      <c r="EB7" s="29">
        <v>1.7</v>
      </c>
      <c r="EC7" s="29">
        <v>2</v>
      </c>
      <c r="ED7" s="29">
        <v>2.08</v>
      </c>
      <c r="EE7" s="29">
        <v>2.1</v>
      </c>
      <c r="EF7" s="29">
        <v>2.1</v>
      </c>
      <c r="EG7" s="29">
        <v>2.73</v>
      </c>
      <c r="EH7" s="29">
        <v>3.61</v>
      </c>
      <c r="EI7" s="29">
        <v>1.46</v>
      </c>
      <c r="EJ7" s="29">
        <v>0.82000010000000001</v>
      </c>
      <c r="EK7" s="29">
        <v>0.73</v>
      </c>
      <c r="EL7" s="29">
        <v>0.52</v>
      </c>
      <c r="EM7" s="29">
        <v>1.68</v>
      </c>
      <c r="EN7" s="29">
        <v>1.94</v>
      </c>
      <c r="EO7" s="29">
        <v>2.13</v>
      </c>
      <c r="EP7" s="29">
        <v>1.8</v>
      </c>
      <c r="EQ7" s="29">
        <v>1.38</v>
      </c>
      <c r="ER7" s="29">
        <v>2.38</v>
      </c>
      <c r="ES7" s="29">
        <v>3.11</v>
      </c>
      <c r="ET7" s="29">
        <v>3.54</v>
      </c>
      <c r="EU7" s="29">
        <v>3.11</v>
      </c>
      <c r="EV7" s="29">
        <v>0.8</v>
      </c>
      <c r="EW7" s="29">
        <v>0.72</v>
      </c>
      <c r="EX7" s="29">
        <v>0.7</v>
      </c>
      <c r="EY7" s="29">
        <v>0.97</v>
      </c>
      <c r="EZ7" s="29">
        <v>1.9</v>
      </c>
      <c r="FA7" s="29">
        <v>2.2599999999999998</v>
      </c>
      <c r="FB7" s="29">
        <v>2.1</v>
      </c>
      <c r="FC7" s="29">
        <v>2.23</v>
      </c>
      <c r="FD7" s="29">
        <v>2.0699999999999998</v>
      </c>
      <c r="FE7" s="29">
        <v>2.69</v>
      </c>
      <c r="FF7" s="29">
        <v>3.26</v>
      </c>
      <c r="FG7" s="29">
        <v>3.28</v>
      </c>
      <c r="FH7" s="29">
        <v>0.79</v>
      </c>
      <c r="FI7" s="29">
        <v>0.81</v>
      </c>
      <c r="FJ7" s="29">
        <v>0.78</v>
      </c>
      <c r="FK7" s="29">
        <v>0.72499999999999998</v>
      </c>
      <c r="FL7" s="29">
        <v>1.9</v>
      </c>
      <c r="FM7" s="29">
        <v>2.09</v>
      </c>
      <c r="FN7" s="29">
        <v>2.3199999999999998</v>
      </c>
      <c r="FO7" s="29">
        <v>2.34</v>
      </c>
      <c r="FP7" s="29">
        <v>2.5299999999999998</v>
      </c>
      <c r="FQ7" s="29">
        <v>2.91</v>
      </c>
      <c r="FR7" s="29">
        <v>3.12</v>
      </c>
      <c r="FS7" s="29">
        <v>0.73</v>
      </c>
      <c r="FT7" s="29">
        <v>0.35</v>
      </c>
      <c r="FU7" s="29">
        <v>0.7</v>
      </c>
      <c r="FV7" s="29">
        <v>0.8</v>
      </c>
      <c r="FW7" s="29">
        <v>0.95</v>
      </c>
      <c r="FX7" s="29">
        <v>1.8</v>
      </c>
      <c r="FY7" s="29">
        <v>2.0299999999999998</v>
      </c>
      <c r="FZ7" s="29">
        <v>2.0699999999999998</v>
      </c>
      <c r="GA7" s="29">
        <v>2.4500000000000002</v>
      </c>
      <c r="GB7" s="29">
        <v>2.2999999999999998</v>
      </c>
      <c r="GC7" s="29">
        <v>2.89</v>
      </c>
      <c r="GD7" s="29">
        <v>3.33</v>
      </c>
      <c r="GE7" s="29">
        <v>1.45</v>
      </c>
      <c r="GF7" s="29">
        <v>0.71</v>
      </c>
      <c r="GG7" s="29">
        <v>0.95</v>
      </c>
      <c r="GH7" s="29">
        <v>0.9</v>
      </c>
      <c r="GI7" s="29">
        <v>0.85</v>
      </c>
      <c r="GJ7" s="29">
        <v>1.65</v>
      </c>
      <c r="GK7" s="29">
        <v>1.1599999999999999</v>
      </c>
      <c r="GL7" s="29">
        <v>3.23</v>
      </c>
      <c r="GM7" s="29">
        <v>3.45</v>
      </c>
      <c r="GN7" s="29">
        <v>3.1</v>
      </c>
      <c r="GO7" s="29">
        <v>3.25</v>
      </c>
      <c r="GP7" s="29">
        <v>2.75</v>
      </c>
      <c r="GQ7" s="29">
        <v>2.95</v>
      </c>
      <c r="GR7" s="29">
        <v>1.32</v>
      </c>
      <c r="GS7" s="29">
        <v>0.75</v>
      </c>
      <c r="GT7" s="29">
        <v>1.1000000000000001</v>
      </c>
      <c r="GU7" s="29">
        <v>0.85</v>
      </c>
      <c r="GV7" s="29">
        <v>1.82</v>
      </c>
      <c r="GW7" s="29">
        <v>2.2799999999999998</v>
      </c>
      <c r="GX7" s="29">
        <v>2.7</v>
      </c>
      <c r="GY7" s="29">
        <v>3.03</v>
      </c>
      <c r="GZ7" s="29">
        <v>3.58</v>
      </c>
      <c r="HA7" s="29">
        <v>3.73</v>
      </c>
      <c r="HB7" s="29">
        <v>3.91</v>
      </c>
      <c r="HC7" s="29">
        <v>3.88</v>
      </c>
      <c r="HD7" s="29">
        <v>2.48</v>
      </c>
      <c r="HE7" s="29">
        <v>0.91</v>
      </c>
      <c r="HF7" s="29">
        <v>0.93</v>
      </c>
      <c r="HG7" s="29">
        <v>1.1499999999999999</v>
      </c>
      <c r="HH7" s="29">
        <v>1.97</v>
      </c>
      <c r="HI7" s="29">
        <v>2.11</v>
      </c>
      <c r="HJ7" s="29">
        <v>2.2799999999999998</v>
      </c>
      <c r="HK7" s="29">
        <v>2.09</v>
      </c>
      <c r="HL7" s="29">
        <v>2.09</v>
      </c>
      <c r="HM7" s="29">
        <v>3.04</v>
      </c>
      <c r="HN7" s="29">
        <v>3.6</v>
      </c>
      <c r="HO7" s="29">
        <v>3.95</v>
      </c>
      <c r="HP7" s="29">
        <v>3.84</v>
      </c>
      <c r="HQ7" s="29">
        <v>1.88</v>
      </c>
      <c r="HR7" s="29">
        <v>0.72</v>
      </c>
      <c r="HS7" s="29">
        <v>0.87</v>
      </c>
      <c r="HT7" s="29">
        <v>2.02</v>
      </c>
      <c r="HU7" s="29">
        <v>2.37</v>
      </c>
      <c r="HV7" s="29">
        <v>2.6</v>
      </c>
      <c r="HW7" s="29">
        <v>3.02</v>
      </c>
      <c r="HX7" s="29">
        <v>3.06</v>
      </c>
      <c r="HY7" s="29">
        <v>3.46</v>
      </c>
      <c r="HZ7" s="29">
        <v>3.32</v>
      </c>
      <c r="IA7" s="29">
        <v>2.94</v>
      </c>
      <c r="IB7" s="29">
        <v>2.67</v>
      </c>
      <c r="IC7" s="29">
        <v>1.42</v>
      </c>
      <c r="ID7" s="29">
        <v>2.88</v>
      </c>
      <c r="IE7" s="29">
        <v>3.62</v>
      </c>
      <c r="IF7" s="29">
        <v>2.94</v>
      </c>
      <c r="IG7" s="29">
        <v>3.6</v>
      </c>
      <c r="IH7" s="29">
        <v>3.9</v>
      </c>
      <c r="II7" s="29">
        <v>4.0599999999999996</v>
      </c>
      <c r="IJ7" s="29">
        <v>4.4000000000000004</v>
      </c>
      <c r="IK7" s="29">
        <v>4.54</v>
      </c>
      <c r="IL7" s="29">
        <v>4.3600000000000003</v>
      </c>
      <c r="IM7" s="29">
        <v>4.53</v>
      </c>
      <c r="IN7" s="29">
        <v>4.96</v>
      </c>
      <c r="IO7" s="29">
        <v>4.4000000000000004</v>
      </c>
      <c r="IP7" s="29">
        <v>1.24</v>
      </c>
      <c r="IQ7" s="29">
        <v>1.1399999999999999</v>
      </c>
      <c r="IR7" s="29">
        <v>1.88</v>
      </c>
      <c r="IS7" s="29">
        <v>2.88</v>
      </c>
      <c r="IT7" s="29">
        <v>3.29</v>
      </c>
      <c r="IU7" s="29">
        <v>3.7</v>
      </c>
      <c r="IV7" s="29">
        <v>4</v>
      </c>
      <c r="IW7" s="18">
        <v>4.2300000000000004</v>
      </c>
      <c r="IX7" s="18">
        <v>3.18</v>
      </c>
      <c r="IY7" s="18">
        <v>3.85</v>
      </c>
      <c r="IZ7" s="19">
        <v>1.48</v>
      </c>
      <c r="JA7" s="20">
        <v>1.32</v>
      </c>
      <c r="JB7" s="20">
        <v>1.04</v>
      </c>
      <c r="JC7" s="20">
        <v>1.63</v>
      </c>
      <c r="JD7" s="20">
        <v>2.35</v>
      </c>
      <c r="JE7" s="20">
        <v>3.29</v>
      </c>
      <c r="JF7" s="21">
        <v>3.77</v>
      </c>
      <c r="JG7" s="22">
        <v>4.1500000000000004</v>
      </c>
      <c r="JH7" s="22">
        <v>4.51</v>
      </c>
      <c r="JI7" s="20">
        <v>4.83</v>
      </c>
      <c r="JJ7" s="23">
        <v>4.96</v>
      </c>
      <c r="JK7" s="24">
        <v>4.46</v>
      </c>
      <c r="JL7" s="24">
        <v>2.56</v>
      </c>
      <c r="JM7" s="25">
        <v>1.51</v>
      </c>
      <c r="JN7" s="25">
        <v>1.85</v>
      </c>
      <c r="JO7" s="17">
        <v>1.39</v>
      </c>
      <c r="JP7" s="17">
        <v>1.46</v>
      </c>
      <c r="JQ7" s="25">
        <v>3.28</v>
      </c>
      <c r="JR7" s="25">
        <v>3.75</v>
      </c>
      <c r="JS7" s="25">
        <v>4.1500000000000004</v>
      </c>
      <c r="JT7" s="25">
        <v>4.49</v>
      </c>
      <c r="JU7" s="17">
        <v>5.29</v>
      </c>
      <c r="JV7" s="18">
        <v>5.52</v>
      </c>
      <c r="JW7" s="18">
        <v>0.42</v>
      </c>
      <c r="JX7" s="18">
        <v>5.37</v>
      </c>
      <c r="JY7" s="18">
        <v>0.28000000000000003</v>
      </c>
      <c r="JZ7" s="18">
        <v>0.32</v>
      </c>
      <c r="KA7" s="18">
        <v>1.71</v>
      </c>
      <c r="KB7" s="18">
        <v>2.71</v>
      </c>
      <c r="KC7" s="18">
        <v>3.02</v>
      </c>
      <c r="KD7" s="18">
        <v>3.68</v>
      </c>
      <c r="KE7" s="18">
        <v>4.34</v>
      </c>
      <c r="KF7" s="18">
        <v>5</v>
      </c>
      <c r="KG7" s="26">
        <v>5.81</v>
      </c>
      <c r="KH7" s="26">
        <v>5.48</v>
      </c>
      <c r="KI7" s="26">
        <v>4.13</v>
      </c>
      <c r="KJ7" s="26">
        <v>3.87</v>
      </c>
      <c r="KK7" s="26">
        <v>2.63</v>
      </c>
      <c r="KL7" s="18">
        <v>1.73</v>
      </c>
      <c r="KM7" s="26">
        <v>0.93</v>
      </c>
      <c r="KN7" s="18">
        <v>1.94</v>
      </c>
      <c r="KO7" s="18">
        <v>3.5</v>
      </c>
      <c r="KP7" s="18">
        <v>3.61</v>
      </c>
      <c r="KQ7" s="18">
        <v>3.76</v>
      </c>
      <c r="KR7" s="18">
        <v>3.53</v>
      </c>
      <c r="KS7" s="18">
        <v>4.09</v>
      </c>
      <c r="KT7" s="18">
        <v>3.8899999999999997</v>
      </c>
      <c r="KU7" s="26">
        <v>3.31</v>
      </c>
      <c r="KV7" s="18">
        <v>0.37</v>
      </c>
      <c r="KW7" s="17">
        <v>0.63</v>
      </c>
      <c r="KX7" s="17">
        <v>0.6</v>
      </c>
      <c r="KY7" s="18">
        <v>0.39</v>
      </c>
      <c r="KZ7" s="17">
        <v>0.86</v>
      </c>
      <c r="LA7" s="17">
        <v>0.89</v>
      </c>
      <c r="LB7" s="17">
        <v>1.1299999999999999</v>
      </c>
      <c r="LC7" s="17">
        <v>1.21</v>
      </c>
      <c r="LD7" s="17">
        <v>5.0199999999999996</v>
      </c>
      <c r="LE7" s="17">
        <v>4.5199999999999996</v>
      </c>
      <c r="LF7" s="17">
        <v>5.05</v>
      </c>
      <c r="LG7" s="18">
        <v>4.68</v>
      </c>
      <c r="LH7" s="18">
        <v>4.3099999999999996</v>
      </c>
      <c r="LI7" s="18">
        <v>1.3599999999999999</v>
      </c>
      <c r="LJ7" s="18">
        <v>0.32999999999999996</v>
      </c>
      <c r="LK7" s="18">
        <v>1.8899999999999997</v>
      </c>
      <c r="LL7" s="18">
        <v>0.43000000000000005</v>
      </c>
      <c r="LM7" s="18">
        <v>0.84</v>
      </c>
      <c r="LN7" s="18">
        <v>3.88</v>
      </c>
      <c r="LO7" s="18">
        <v>4.21</v>
      </c>
      <c r="LP7" s="18">
        <v>4.43</v>
      </c>
      <c r="LQ7" s="18">
        <v>3.42</v>
      </c>
      <c r="LR7" s="18">
        <v>4.33</v>
      </c>
      <c r="LS7" s="18">
        <v>0.32999999999999996</v>
      </c>
      <c r="LT7" s="18">
        <v>0.4</v>
      </c>
      <c r="LU7" s="18">
        <v>0.39</v>
      </c>
      <c r="LV7" s="17">
        <v>0.67</v>
      </c>
      <c r="LW7" s="17">
        <v>0.44000000000000006</v>
      </c>
      <c r="LX7" s="17">
        <v>3.0000000000000027E-2</v>
      </c>
      <c r="LY7" s="17">
        <v>2.9499999999999997</v>
      </c>
      <c r="LZ7" s="17">
        <v>3.5599999999999996</v>
      </c>
      <c r="MA7" s="17">
        <v>3.91</v>
      </c>
      <c r="MB7" s="17">
        <v>4.25</v>
      </c>
      <c r="MC7" s="17">
        <v>4.37</v>
      </c>
      <c r="MD7" s="17">
        <v>2.9</v>
      </c>
      <c r="ME7" s="17">
        <v>0</v>
      </c>
      <c r="MF7" s="17">
        <v>1.5299999999999998</v>
      </c>
      <c r="MG7" s="17">
        <v>0.98000000000000009</v>
      </c>
      <c r="MH7" s="17">
        <v>0.57999999999999996</v>
      </c>
      <c r="MI7" s="17">
        <v>1.25</v>
      </c>
      <c r="MJ7" s="17">
        <v>2.3899999999999997</v>
      </c>
      <c r="MK7" s="17">
        <v>3.08</v>
      </c>
      <c r="ML7" s="17">
        <v>3.3</v>
      </c>
      <c r="MM7" s="27">
        <v>3.69</v>
      </c>
      <c r="MN7" s="27">
        <f>VLOOKUP(B7,[1]Sheet1!$A:$N,7,0)</f>
        <v>3.97</v>
      </c>
      <c r="MO7" s="27">
        <f>VLOOKUP(B7,[1]Sheet1!$A:$N,8,0)</f>
        <v>1.5299999999999998</v>
      </c>
      <c r="MP7" s="27">
        <f>VLOOKUP(B7,[1]Sheet1!$A:$N,9,0)</f>
        <v>3.25</v>
      </c>
      <c r="MU7" s="27">
        <f>VLOOKUP(B7,[1]Sheet1!$A:$N,14,0)</f>
        <v>1.58</v>
      </c>
    </row>
    <row r="8" spans="1:360" s="27" customFormat="1" ht="18.75" customHeight="1" x14ac:dyDescent="0.25">
      <c r="A8" s="8" t="s">
        <v>0</v>
      </c>
      <c r="B8" s="8">
        <v>10213</v>
      </c>
      <c r="C8" s="9" t="s">
        <v>20</v>
      </c>
      <c r="D8" s="10" t="s">
        <v>36</v>
      </c>
      <c r="E8" s="10" t="s">
        <v>37</v>
      </c>
      <c r="F8" s="11" t="s">
        <v>38</v>
      </c>
      <c r="G8" s="39" t="s">
        <v>1</v>
      </c>
      <c r="H8" s="41">
        <v>92.4</v>
      </c>
      <c r="I8" s="13" t="s">
        <v>2</v>
      </c>
      <c r="J8" s="28">
        <v>6.44</v>
      </c>
      <c r="K8" s="15">
        <v>16.537269999999999</v>
      </c>
      <c r="L8" s="15">
        <v>80.982640000000004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29">
        <v>2.15</v>
      </c>
      <c r="CK8" s="29">
        <v>4.47</v>
      </c>
      <c r="CL8" s="29">
        <v>4.17</v>
      </c>
      <c r="CM8" s="29">
        <v>4.1100000000000003</v>
      </c>
      <c r="CN8" s="29">
        <v>4.12</v>
      </c>
      <c r="CO8" s="29">
        <v>4.32</v>
      </c>
      <c r="CP8" s="29">
        <v>4.16</v>
      </c>
      <c r="CQ8" s="29">
        <v>4.08</v>
      </c>
      <c r="CR8" s="29">
        <v>4</v>
      </c>
      <c r="CS8" s="29">
        <v>3.78</v>
      </c>
      <c r="CT8" s="29">
        <v>3.72</v>
      </c>
      <c r="CU8" s="29">
        <v>3.87</v>
      </c>
      <c r="CV8" s="29">
        <v>4.5</v>
      </c>
      <c r="CW8" s="29">
        <v>4.5</v>
      </c>
      <c r="CX8" s="29">
        <v>5.09</v>
      </c>
      <c r="CY8" s="29">
        <v>5.0999999999999996</v>
      </c>
      <c r="CZ8" s="29">
        <v>4.93</v>
      </c>
      <c r="DA8" s="29">
        <v>4.6500000000000004</v>
      </c>
      <c r="DB8" s="29">
        <v>4.8899999999999997</v>
      </c>
      <c r="DC8" s="29">
        <v>4.63</v>
      </c>
      <c r="DD8" s="29">
        <v>4.67</v>
      </c>
      <c r="DE8" s="29">
        <v>4.1100000000000003</v>
      </c>
      <c r="DF8" s="29">
        <v>4.0599999999999996</v>
      </c>
      <c r="DG8" s="29">
        <v>3.83</v>
      </c>
      <c r="DH8" s="29">
        <v>4.01</v>
      </c>
      <c r="DI8" s="29">
        <v>3.84</v>
      </c>
      <c r="DJ8" s="29">
        <v>3</v>
      </c>
      <c r="DK8" s="29">
        <v>2.4</v>
      </c>
      <c r="DL8" s="29">
        <v>4.57</v>
      </c>
      <c r="DM8" s="29">
        <v>4.17</v>
      </c>
      <c r="DN8" s="29">
        <v>4.0999999999999996</v>
      </c>
      <c r="DO8" s="29">
        <v>3.94</v>
      </c>
      <c r="DP8" s="29">
        <v>3.95</v>
      </c>
      <c r="DQ8" s="29">
        <v>3.79</v>
      </c>
      <c r="DR8" s="29">
        <v>3.28</v>
      </c>
      <c r="DS8" s="29">
        <v>3.29</v>
      </c>
      <c r="DT8" s="29">
        <v>3.09</v>
      </c>
      <c r="DU8" s="29">
        <v>3.02</v>
      </c>
      <c r="DV8" s="29">
        <v>2.78</v>
      </c>
      <c r="DW8" s="29">
        <v>2.48</v>
      </c>
      <c r="DX8" s="29">
        <v>2.38</v>
      </c>
      <c r="DY8" s="29">
        <v>2.19</v>
      </c>
      <c r="DZ8" s="29">
        <v>2.09</v>
      </c>
      <c r="EA8" s="29">
        <v>1.73</v>
      </c>
      <c r="EB8" s="29">
        <v>1.77</v>
      </c>
      <c r="EC8" s="29">
        <v>1.77</v>
      </c>
      <c r="ED8" s="29">
        <v>1.89</v>
      </c>
      <c r="EE8" s="29">
        <v>1.87</v>
      </c>
      <c r="EF8" s="29">
        <v>1.85</v>
      </c>
      <c r="EG8" s="29">
        <v>1.66</v>
      </c>
      <c r="EH8" s="29">
        <v>1.67</v>
      </c>
      <c r="EI8" s="29">
        <v>1.95</v>
      </c>
      <c r="EJ8" s="29">
        <v>1.94</v>
      </c>
      <c r="EK8" s="29">
        <v>1.9</v>
      </c>
      <c r="EL8" s="29">
        <v>1.85</v>
      </c>
      <c r="EM8" s="29">
        <v>1.82</v>
      </c>
      <c r="EN8" s="29">
        <v>1.9</v>
      </c>
      <c r="EO8" s="29">
        <v>1.82</v>
      </c>
      <c r="EP8" s="29">
        <v>1.76</v>
      </c>
      <c r="EQ8" s="29">
        <v>1.71</v>
      </c>
      <c r="ER8" s="29">
        <v>2.72</v>
      </c>
      <c r="ES8" s="29">
        <v>1.7</v>
      </c>
      <c r="ET8" s="29">
        <v>2.2200000000000002</v>
      </c>
      <c r="EU8" s="29">
        <v>2.36</v>
      </c>
      <c r="EV8" s="29">
        <v>2.58</v>
      </c>
      <c r="EW8" s="29">
        <v>2.71</v>
      </c>
      <c r="EX8" s="29">
        <v>2.82</v>
      </c>
      <c r="EY8" s="29">
        <v>2.88</v>
      </c>
      <c r="EZ8" s="29">
        <v>3.08</v>
      </c>
      <c r="FA8" s="29">
        <v>3.1</v>
      </c>
      <c r="FB8" s="29">
        <v>3.1</v>
      </c>
      <c r="FC8" s="29">
        <v>3.15</v>
      </c>
      <c r="FD8" s="29">
        <v>3.18</v>
      </c>
      <c r="FE8" s="29">
        <v>3.2</v>
      </c>
      <c r="FF8" s="29">
        <v>3.31</v>
      </c>
      <c r="FG8" s="29">
        <v>3.23</v>
      </c>
      <c r="FH8" s="29">
        <v>3.15</v>
      </c>
      <c r="FI8" s="29">
        <v>3.09</v>
      </c>
      <c r="FJ8" s="29">
        <v>3.02</v>
      </c>
      <c r="FK8" s="29">
        <v>3</v>
      </c>
      <c r="FL8" s="29">
        <v>3.15</v>
      </c>
      <c r="FM8" s="29">
        <v>3.11</v>
      </c>
      <c r="FN8" s="29">
        <v>3.08</v>
      </c>
      <c r="FO8" s="29">
        <v>3.02</v>
      </c>
      <c r="FP8" s="29">
        <v>3.42</v>
      </c>
      <c r="FQ8" s="29">
        <v>2.5</v>
      </c>
      <c r="FR8" s="29">
        <v>3.09</v>
      </c>
      <c r="FS8" s="29">
        <v>3.02</v>
      </c>
      <c r="FT8" s="29">
        <v>3</v>
      </c>
      <c r="FU8" s="29">
        <v>1.49</v>
      </c>
      <c r="FV8" s="29">
        <v>3.13</v>
      </c>
      <c r="FW8" s="29">
        <v>3.15</v>
      </c>
      <c r="FX8" s="29">
        <v>3.2</v>
      </c>
      <c r="FY8" s="29">
        <v>3.28</v>
      </c>
      <c r="FZ8" s="29">
        <v>3.55</v>
      </c>
      <c r="GA8" s="29">
        <v>3.35</v>
      </c>
      <c r="GB8" s="29">
        <v>3.46</v>
      </c>
      <c r="GC8" s="29">
        <v>3.5</v>
      </c>
      <c r="GD8" s="29">
        <v>3.55</v>
      </c>
      <c r="GE8" s="29">
        <v>3.62</v>
      </c>
      <c r="GF8" s="29">
        <v>3.59</v>
      </c>
      <c r="GG8" s="29">
        <v>3.6</v>
      </c>
      <c r="GH8" s="29">
        <v>3.55</v>
      </c>
      <c r="GI8" s="29">
        <v>3.55</v>
      </c>
      <c r="GJ8" s="29">
        <v>3.6</v>
      </c>
      <c r="GK8" s="29">
        <v>3.67</v>
      </c>
      <c r="GL8" s="29">
        <v>3.67</v>
      </c>
      <c r="GM8" s="29">
        <v>3.69</v>
      </c>
      <c r="GN8" s="29">
        <v>3.72</v>
      </c>
      <c r="GO8" s="29">
        <v>3.75</v>
      </c>
      <c r="GP8" s="29">
        <v>3.9</v>
      </c>
      <c r="GQ8" s="29">
        <v>4</v>
      </c>
      <c r="GR8" s="29">
        <v>4.05</v>
      </c>
      <c r="GS8" s="29">
        <v>4.12</v>
      </c>
      <c r="GT8" s="29">
        <v>4.0999999999999996</v>
      </c>
      <c r="GU8" s="29">
        <v>4.05</v>
      </c>
      <c r="GV8" s="29">
        <v>4.1500000000000004</v>
      </c>
      <c r="GW8" s="29">
        <v>4.0999999999999996</v>
      </c>
      <c r="GX8" s="29">
        <v>4.1500000000000004</v>
      </c>
      <c r="GY8" s="29">
        <v>4.2</v>
      </c>
      <c r="GZ8" s="29">
        <v>4.1500000000000004</v>
      </c>
      <c r="HA8" s="29">
        <v>4.2</v>
      </c>
      <c r="HB8" s="29">
        <v>4.0999999999999996</v>
      </c>
      <c r="HC8" s="29">
        <v>4.33</v>
      </c>
      <c r="HD8" s="29">
        <v>4.0999999999999996</v>
      </c>
      <c r="HE8" s="29">
        <v>4.5</v>
      </c>
      <c r="HF8" s="29">
        <v>2.08</v>
      </c>
      <c r="HG8" s="29">
        <v>4.4400000000000004</v>
      </c>
      <c r="HH8" s="29">
        <v>4.51</v>
      </c>
      <c r="HI8" s="29">
        <v>4.5599999999999996</v>
      </c>
      <c r="HJ8" s="29">
        <v>4.51</v>
      </c>
      <c r="HK8" s="29">
        <v>4.62</v>
      </c>
      <c r="HL8" s="29">
        <v>4.67</v>
      </c>
      <c r="HM8" s="29">
        <v>4.72</v>
      </c>
      <c r="HN8" s="29">
        <v>5.0199999999999996</v>
      </c>
      <c r="HO8" s="29">
        <v>5.12</v>
      </c>
      <c r="HP8" s="29">
        <v>5.17</v>
      </c>
      <c r="HQ8" s="29">
        <v>5.27</v>
      </c>
      <c r="HR8" s="29">
        <v>5.37</v>
      </c>
      <c r="HS8" s="29">
        <v>5.47</v>
      </c>
      <c r="HT8" s="29">
        <v>5.67</v>
      </c>
      <c r="HU8" s="29">
        <v>5.78</v>
      </c>
      <c r="HV8" s="29">
        <v>5.87</v>
      </c>
      <c r="HW8" s="29">
        <v>5.97</v>
      </c>
      <c r="HX8" s="29">
        <v>4.4000000000000004</v>
      </c>
      <c r="HY8" s="29">
        <v>4.62</v>
      </c>
      <c r="HZ8" s="29">
        <v>4.74</v>
      </c>
      <c r="IA8" s="29">
        <v>4.76</v>
      </c>
      <c r="IB8" s="29">
        <v>4.92</v>
      </c>
      <c r="IC8" s="29">
        <v>8.64</v>
      </c>
      <c r="ID8" s="29">
        <v>8.68</v>
      </c>
      <c r="IE8" s="29">
        <v>8.8800000000000008</v>
      </c>
      <c r="IF8" s="29">
        <v>9.0299999999999994</v>
      </c>
      <c r="IG8" s="29">
        <v>9.02</v>
      </c>
      <c r="IH8" s="29">
        <v>9.6300000000000008</v>
      </c>
      <c r="II8" s="29">
        <v>10.27</v>
      </c>
      <c r="IJ8" s="29">
        <v>10.96</v>
      </c>
      <c r="IK8" s="29">
        <v>11.58</v>
      </c>
      <c r="IL8" s="29">
        <v>11.76</v>
      </c>
      <c r="IM8" s="29">
        <v>11.26</v>
      </c>
      <c r="IN8" s="29">
        <v>11.13</v>
      </c>
      <c r="IO8" s="29">
        <v>10.88</v>
      </c>
      <c r="IP8" s="29">
        <v>10.54</v>
      </c>
      <c r="IQ8" s="29">
        <v>10</v>
      </c>
      <c r="IR8" s="29">
        <v>9.56</v>
      </c>
      <c r="IS8" s="29">
        <v>10.08</v>
      </c>
      <c r="IT8" s="29">
        <v>10.35</v>
      </c>
      <c r="IU8" s="29">
        <v>11.19</v>
      </c>
      <c r="IV8" s="29">
        <v>12.24</v>
      </c>
      <c r="IW8" s="18">
        <v>15.04</v>
      </c>
      <c r="IX8" s="18">
        <v>15.9</v>
      </c>
      <c r="IY8" s="18">
        <v>15.17</v>
      </c>
      <c r="IZ8" s="19">
        <v>14.19</v>
      </c>
      <c r="JA8" s="20">
        <v>13.81</v>
      </c>
      <c r="JB8" s="20">
        <v>13.96</v>
      </c>
      <c r="JC8" s="20">
        <v>14.38</v>
      </c>
      <c r="JD8" s="20">
        <v>13.31</v>
      </c>
      <c r="JE8" s="20">
        <v>14.81</v>
      </c>
      <c r="JF8" s="21">
        <v>16.28</v>
      </c>
      <c r="JG8" s="22">
        <v>16.48</v>
      </c>
      <c r="JH8" s="22">
        <v>17.05</v>
      </c>
      <c r="JI8" s="20">
        <v>19.43</v>
      </c>
      <c r="JJ8" s="23">
        <v>18.78</v>
      </c>
      <c r="JK8" s="24">
        <v>18.66</v>
      </c>
      <c r="JL8" s="24">
        <v>16.670000000000002</v>
      </c>
      <c r="JM8" s="25">
        <v>16.440000000000001</v>
      </c>
      <c r="JN8" s="25">
        <v>15.89</v>
      </c>
      <c r="JO8" s="17">
        <v>17.38</v>
      </c>
      <c r="JP8" s="17">
        <v>13.31</v>
      </c>
      <c r="JQ8" s="25">
        <v>16.97</v>
      </c>
      <c r="JR8" s="25">
        <v>17.05</v>
      </c>
      <c r="JS8" s="25">
        <v>12.05</v>
      </c>
      <c r="JT8" s="25">
        <v>12.25</v>
      </c>
      <c r="JU8" s="17">
        <v>21.46</v>
      </c>
      <c r="JV8" s="18">
        <v>29.79</v>
      </c>
      <c r="JW8" s="18">
        <v>30.3</v>
      </c>
      <c r="JX8" s="18">
        <v>19.14</v>
      </c>
      <c r="JY8" s="18">
        <v>18.46</v>
      </c>
      <c r="JZ8" s="18">
        <v>17.23</v>
      </c>
      <c r="KA8" s="18">
        <v>21.06</v>
      </c>
      <c r="KB8" s="18">
        <v>20.45</v>
      </c>
      <c r="KC8" s="18">
        <v>19.239999999999998</v>
      </c>
      <c r="KD8" s="18">
        <v>19.96</v>
      </c>
      <c r="KE8" s="18">
        <v>20.68</v>
      </c>
      <c r="KF8" s="18">
        <v>21.4</v>
      </c>
      <c r="KG8" s="26">
        <v>22.51</v>
      </c>
      <c r="KH8" s="26">
        <v>19.93</v>
      </c>
      <c r="KI8" s="26">
        <v>20.52</v>
      </c>
      <c r="KJ8" s="26">
        <v>19.27</v>
      </c>
      <c r="KK8" s="26">
        <v>16.86</v>
      </c>
      <c r="KL8" s="18">
        <v>15.840000000000002</v>
      </c>
      <c r="KM8" s="26">
        <v>16.18</v>
      </c>
      <c r="KN8" s="18">
        <v>17.29</v>
      </c>
      <c r="KO8" s="18">
        <v>17.16</v>
      </c>
      <c r="KP8" s="18">
        <v>18.04</v>
      </c>
      <c r="KQ8" s="18">
        <v>17.73</v>
      </c>
      <c r="KR8" s="18">
        <v>18.48</v>
      </c>
      <c r="KS8" s="18">
        <v>17.599999999999998</v>
      </c>
      <c r="KT8" s="18">
        <v>17.709999999999997</v>
      </c>
      <c r="KU8" s="26">
        <v>16.239999999999998</v>
      </c>
      <c r="KV8" s="18">
        <v>15.81</v>
      </c>
      <c r="KW8" s="17">
        <v>16.2</v>
      </c>
      <c r="KX8" s="17">
        <v>15.950000000000001</v>
      </c>
      <c r="KY8" s="18">
        <v>14.950000000000001</v>
      </c>
      <c r="KZ8" s="17">
        <v>15.450000000000001</v>
      </c>
      <c r="LA8" s="17">
        <v>15.200000000000001</v>
      </c>
      <c r="LB8" s="17">
        <v>15.37</v>
      </c>
      <c r="LC8" s="17">
        <v>16.45</v>
      </c>
      <c r="LD8" s="17">
        <v>20.96</v>
      </c>
      <c r="LE8" s="17">
        <v>16.45</v>
      </c>
      <c r="LF8" s="17">
        <v>15.389999999999999</v>
      </c>
      <c r="LG8" s="18">
        <v>14.45</v>
      </c>
      <c r="LH8" s="18">
        <v>19.309999999999999</v>
      </c>
      <c r="LI8" s="18">
        <v>18.439999999999998</v>
      </c>
      <c r="LJ8" s="18">
        <v>17.5</v>
      </c>
      <c r="LK8" s="18">
        <v>17.489999999999998</v>
      </c>
      <c r="LL8" s="18">
        <v>16.889999999999997</v>
      </c>
      <c r="LM8" s="18">
        <v>17.899999999999999</v>
      </c>
      <c r="LN8" s="18">
        <v>17.059999999999999</v>
      </c>
      <c r="LO8" s="18">
        <v>17.41</v>
      </c>
      <c r="LP8" s="18">
        <v>17.559999999999999</v>
      </c>
      <c r="LQ8" s="18">
        <v>17.259999999999998</v>
      </c>
      <c r="LR8" s="18">
        <v>14.89</v>
      </c>
      <c r="LS8" s="18">
        <v>15.030000000000001</v>
      </c>
      <c r="LT8" s="18">
        <v>17.3</v>
      </c>
      <c r="LU8" s="18">
        <v>18.95</v>
      </c>
      <c r="LV8" s="17">
        <v>18.650000000000002</v>
      </c>
      <c r="LW8" s="17">
        <v>18.899999999999999</v>
      </c>
      <c r="LX8" s="17">
        <v>18.209999999999997</v>
      </c>
      <c r="LY8" s="17">
        <v>18.5</v>
      </c>
      <c r="LZ8" s="17">
        <v>18.25</v>
      </c>
      <c r="MA8" s="17">
        <v>16.3</v>
      </c>
      <c r="MB8" s="17">
        <v>16.43</v>
      </c>
      <c r="MC8" s="17">
        <v>17.849999999999998</v>
      </c>
      <c r="MD8" s="17">
        <v>17.329999999999998</v>
      </c>
      <c r="ME8" s="17">
        <v>16.75</v>
      </c>
      <c r="MF8" s="17">
        <v>17.189999999999998</v>
      </c>
      <c r="MG8" s="17">
        <v>13.950000000000001</v>
      </c>
      <c r="MH8" s="17">
        <v>14.71</v>
      </c>
      <c r="MI8" s="17">
        <v>14.99</v>
      </c>
      <c r="MJ8" s="17">
        <v>15.450000000000001</v>
      </c>
      <c r="MK8" s="17">
        <v>15.35</v>
      </c>
      <c r="ML8" s="17">
        <v>15.450000000000001</v>
      </c>
      <c r="MM8" s="27">
        <v>17.010000000000002</v>
      </c>
      <c r="MN8" s="27">
        <f>VLOOKUP(B8,[1]Sheet1!$A:$N,7,0)</f>
        <v>17.149999999999999</v>
      </c>
      <c r="MO8" s="27">
        <f>VLOOKUP(B8,[1]Sheet1!$A:$N,8,0)</f>
        <v>17.189999999999998</v>
      </c>
      <c r="MP8" s="27">
        <f>VLOOKUP(B8,[1]Sheet1!$A:$N,9,0)</f>
        <v>18.600000000000001</v>
      </c>
      <c r="MQ8" s="27">
        <f>VLOOKUP(B8,[1]Sheet1!$A:$N,10,0)</f>
        <v>18.849999999999998</v>
      </c>
      <c r="MR8" s="27">
        <f>VLOOKUP(B8,[1]Sheet1!$A:$N,11,0)</f>
        <v>17.2</v>
      </c>
      <c r="MS8" s="27">
        <f>VLOOKUP(B8,[1]Sheet1!$A:$N,12,0)</f>
        <v>16.89</v>
      </c>
      <c r="MT8" s="27">
        <f>VLOOKUP(B8,[1]Sheet1!$A:$N,13,0)</f>
        <v>14.6</v>
      </c>
      <c r="MU8" s="27">
        <f>VLOOKUP(B8,[1]Sheet1!$A:$N,14,0)</f>
        <v>15.120000000000001</v>
      </c>
    </row>
    <row r="9" spans="1:360" s="27" customFormat="1" ht="18.75" customHeight="1" x14ac:dyDescent="0.25">
      <c r="A9" s="8" t="s">
        <v>0</v>
      </c>
      <c r="B9" s="8">
        <v>10214</v>
      </c>
      <c r="C9" s="9" t="s">
        <v>20</v>
      </c>
      <c r="D9" s="10" t="s">
        <v>39</v>
      </c>
      <c r="E9" s="10" t="s">
        <v>39</v>
      </c>
      <c r="F9" s="11" t="s">
        <v>40</v>
      </c>
      <c r="G9" s="39" t="s">
        <v>1</v>
      </c>
      <c r="H9" s="41">
        <v>68.5</v>
      </c>
      <c r="I9" s="13" t="s">
        <v>2</v>
      </c>
      <c r="J9" s="28">
        <v>8.76</v>
      </c>
      <c r="K9" s="15">
        <v>16.322022</v>
      </c>
      <c r="L9" s="15">
        <v>80.968181000000001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29">
        <v>4.5</v>
      </c>
      <c r="BV9" s="29">
        <v>4.55</v>
      </c>
      <c r="BW9" s="29">
        <v>4.1500000000000004</v>
      </c>
      <c r="BX9" s="29">
        <v>4.76</v>
      </c>
      <c r="BY9" s="29">
        <v>5.74</v>
      </c>
      <c r="BZ9" s="29">
        <v>5.76</v>
      </c>
      <c r="CA9" s="29">
        <v>6.22</v>
      </c>
      <c r="CB9" s="29">
        <v>6.12</v>
      </c>
      <c r="CC9" s="29">
        <v>5.46</v>
      </c>
      <c r="CD9" s="29">
        <v>5.0599999999999996</v>
      </c>
      <c r="CE9" s="29">
        <v>4.95</v>
      </c>
      <c r="CF9" s="29">
        <v>4.9000000000000004</v>
      </c>
      <c r="CG9" s="29">
        <v>5.4</v>
      </c>
      <c r="CH9" s="29">
        <v>5.97</v>
      </c>
      <c r="CI9" s="29">
        <v>5.84</v>
      </c>
      <c r="CJ9" s="29">
        <v>6.47</v>
      </c>
      <c r="CK9" s="29">
        <v>7.28</v>
      </c>
      <c r="CL9" s="29">
        <v>7.3</v>
      </c>
      <c r="CM9" s="29">
        <v>7.38</v>
      </c>
      <c r="CN9" s="29">
        <v>7.74</v>
      </c>
      <c r="CO9" s="29">
        <v>8.25</v>
      </c>
      <c r="CP9" s="29">
        <v>6.63</v>
      </c>
      <c r="CQ9" s="29">
        <v>6.66</v>
      </c>
      <c r="CR9" s="29">
        <v>5.47</v>
      </c>
      <c r="CS9" s="29">
        <v>5.38</v>
      </c>
      <c r="CT9" s="29">
        <v>6.68</v>
      </c>
      <c r="CU9" s="29">
        <v>7.78</v>
      </c>
      <c r="CV9" s="29">
        <v>8.26</v>
      </c>
      <c r="CW9" s="29">
        <v>7.6</v>
      </c>
      <c r="CX9" s="29">
        <v>7.41</v>
      </c>
      <c r="CY9" s="29">
        <v>7.98</v>
      </c>
      <c r="CZ9" s="29">
        <v>8.64</v>
      </c>
      <c r="DA9" s="29">
        <v>7.58</v>
      </c>
      <c r="DB9" s="29">
        <v>6.28</v>
      </c>
      <c r="DC9" s="29">
        <v>5.96</v>
      </c>
      <c r="DD9" s="29">
        <v>5.45</v>
      </c>
      <c r="DE9" s="29">
        <v>5.68</v>
      </c>
      <c r="DF9" s="29">
        <v>6.25</v>
      </c>
      <c r="DG9" s="29">
        <v>6.56</v>
      </c>
      <c r="DH9" s="29">
        <v>7.6</v>
      </c>
      <c r="DI9" s="29">
        <v>7.63</v>
      </c>
      <c r="DJ9" s="29">
        <v>8.26</v>
      </c>
      <c r="DK9" s="29">
        <v>7.96</v>
      </c>
      <c r="DL9" s="29">
        <v>7.42</v>
      </c>
      <c r="DM9" s="29">
        <v>5.8</v>
      </c>
      <c r="DN9" s="29">
        <v>5.16</v>
      </c>
      <c r="DO9" s="29">
        <v>4.79</v>
      </c>
      <c r="DP9" s="29">
        <v>4.92</v>
      </c>
      <c r="DQ9" s="29">
        <v>5.24</v>
      </c>
      <c r="DR9" s="29">
        <v>5.22</v>
      </c>
      <c r="DS9" s="29">
        <v>5.17</v>
      </c>
      <c r="DT9" s="29">
        <v>5.3</v>
      </c>
      <c r="DU9" s="29">
        <v>5.84</v>
      </c>
      <c r="DV9" s="29">
        <v>6.67</v>
      </c>
      <c r="DW9" s="29">
        <v>7.05</v>
      </c>
      <c r="DX9" s="29">
        <v>5.97</v>
      </c>
      <c r="DY9" s="29">
        <v>4.79</v>
      </c>
      <c r="DZ9" s="29">
        <v>4.74</v>
      </c>
      <c r="EA9" s="29">
        <v>4.08</v>
      </c>
      <c r="EB9" s="29">
        <v>4.58</v>
      </c>
      <c r="EC9" s="29">
        <v>4.7300000000000004</v>
      </c>
      <c r="ED9" s="29">
        <v>4.82</v>
      </c>
      <c r="EE9" s="29">
        <v>5</v>
      </c>
      <c r="EF9" s="29">
        <v>5.38</v>
      </c>
      <c r="EG9" s="29">
        <v>5.64</v>
      </c>
      <c r="EH9" s="29">
        <v>6.62</v>
      </c>
      <c r="EI9" s="29">
        <v>6.55</v>
      </c>
      <c r="EJ9" s="29">
        <v>5.28</v>
      </c>
      <c r="EK9" s="29">
        <v>4.53</v>
      </c>
      <c r="EL9" s="29">
        <v>4.3600000000000003</v>
      </c>
      <c r="EM9" s="29">
        <v>4.28</v>
      </c>
      <c r="EN9" s="29">
        <v>4.67</v>
      </c>
      <c r="EO9" s="29">
        <v>4.8099999999999996</v>
      </c>
      <c r="EP9" s="29">
        <v>4.6100000000000003</v>
      </c>
      <c r="EQ9" s="29">
        <v>4.82</v>
      </c>
      <c r="ER9" s="29">
        <v>4.75</v>
      </c>
      <c r="ES9" s="29">
        <v>5.47</v>
      </c>
      <c r="ET9" s="29">
        <v>6.1</v>
      </c>
      <c r="EU9" s="29">
        <v>6.14</v>
      </c>
      <c r="EV9" s="29">
        <v>4.79</v>
      </c>
      <c r="EW9" s="29">
        <v>4.41</v>
      </c>
      <c r="EX9" s="29">
        <v>4.22</v>
      </c>
      <c r="EY9" s="29">
        <v>4.21</v>
      </c>
      <c r="EZ9" s="29">
        <v>4.01</v>
      </c>
      <c r="FA9" s="29">
        <v>4.2</v>
      </c>
      <c r="FB9" s="29">
        <v>4.7</v>
      </c>
      <c r="FC9" s="29">
        <v>4.88</v>
      </c>
      <c r="FD9" s="29">
        <v>5.36</v>
      </c>
      <c r="FE9" s="29">
        <v>5.46</v>
      </c>
      <c r="FF9" s="29">
        <v>6.56</v>
      </c>
      <c r="FG9" s="29">
        <v>7.36</v>
      </c>
      <c r="FH9" s="29">
        <v>6.54</v>
      </c>
      <c r="FI9" s="29">
        <v>5.73</v>
      </c>
      <c r="FJ9" s="29">
        <v>4.87</v>
      </c>
      <c r="FK9" s="29">
        <v>4.75</v>
      </c>
      <c r="FL9" s="29">
        <v>4.3499999999999996</v>
      </c>
      <c r="FM9" s="29">
        <v>4.6500000000000004</v>
      </c>
      <c r="FN9" s="29">
        <v>4.75</v>
      </c>
      <c r="FO9" s="29">
        <v>4.9000000000000004</v>
      </c>
      <c r="FP9" s="29">
        <v>5.37</v>
      </c>
      <c r="FQ9" s="29">
        <v>5.8</v>
      </c>
      <c r="FR9" s="29">
        <v>5.85</v>
      </c>
      <c r="FS9" s="29">
        <v>6.15</v>
      </c>
      <c r="FT9" s="29">
        <v>4.9400000000000004</v>
      </c>
      <c r="FU9" s="29">
        <v>4.3</v>
      </c>
      <c r="FV9" s="29">
        <v>4.2699999999999996</v>
      </c>
      <c r="FW9" s="29">
        <v>3.94</v>
      </c>
      <c r="FX9" s="29">
        <v>3.75</v>
      </c>
      <c r="FY9" s="29">
        <v>4.6500000000000004</v>
      </c>
      <c r="FZ9" s="29">
        <v>4.5999999999999996</v>
      </c>
      <c r="GA9" s="29">
        <v>4.92</v>
      </c>
      <c r="GB9" s="29">
        <v>5.3</v>
      </c>
      <c r="GC9" s="29">
        <v>5.52</v>
      </c>
      <c r="GD9" s="29">
        <v>6.52</v>
      </c>
      <c r="GE9" s="29">
        <v>6.7</v>
      </c>
      <c r="GF9" s="29">
        <v>5.76</v>
      </c>
      <c r="GG9" s="29">
        <v>5.35</v>
      </c>
      <c r="GH9" s="29">
        <v>5.16</v>
      </c>
      <c r="GI9" s="29">
        <v>4.75</v>
      </c>
      <c r="GJ9" s="29">
        <v>5.0999999999999996</v>
      </c>
      <c r="GK9" s="29">
        <v>4.78</v>
      </c>
      <c r="GL9" s="29">
        <v>5.55</v>
      </c>
      <c r="GM9" s="29">
        <v>5.85</v>
      </c>
      <c r="GN9" s="29">
        <v>6.12</v>
      </c>
      <c r="GO9" s="29">
        <v>6.32</v>
      </c>
      <c r="GP9" s="29">
        <v>6.8</v>
      </c>
      <c r="GQ9" s="29">
        <v>7.4</v>
      </c>
      <c r="GR9" s="29">
        <v>7.8</v>
      </c>
      <c r="GS9" s="29">
        <v>6.18</v>
      </c>
      <c r="GT9" s="29">
        <v>6.55</v>
      </c>
      <c r="GU9" s="29">
        <v>5.72</v>
      </c>
      <c r="GV9" s="29">
        <v>5.86</v>
      </c>
      <c r="GW9" s="29">
        <v>5.98</v>
      </c>
      <c r="GX9" s="29">
        <v>5</v>
      </c>
      <c r="GY9" s="29">
        <v>6.51</v>
      </c>
      <c r="GZ9" s="29">
        <v>7.11</v>
      </c>
      <c r="HA9" s="29">
        <v>7.13</v>
      </c>
      <c r="HB9" s="29">
        <v>7.63</v>
      </c>
      <c r="HC9" s="29">
        <v>8.4499999999999993</v>
      </c>
      <c r="HD9" s="29">
        <v>7.86</v>
      </c>
      <c r="HE9" s="29">
        <v>6.48</v>
      </c>
      <c r="HF9" s="29">
        <v>6.07</v>
      </c>
      <c r="HG9" s="29">
        <v>5.73</v>
      </c>
      <c r="HH9" s="29">
        <v>5.91</v>
      </c>
      <c r="HI9" s="29">
        <v>6.36</v>
      </c>
      <c r="HJ9" s="29">
        <v>6.29</v>
      </c>
      <c r="HK9" s="29">
        <v>6.92</v>
      </c>
      <c r="HL9" s="29">
        <v>7.18</v>
      </c>
      <c r="HM9" s="29">
        <v>7.47</v>
      </c>
      <c r="HN9" s="29">
        <v>8.4</v>
      </c>
      <c r="HO9" s="29">
        <v>9.6999999999999993</v>
      </c>
      <c r="HP9" s="29">
        <v>10.15</v>
      </c>
      <c r="HQ9" s="29">
        <v>9.01</v>
      </c>
      <c r="HR9" s="29">
        <v>7.9</v>
      </c>
      <c r="HS9" s="29">
        <v>7.57</v>
      </c>
      <c r="HT9" s="29">
        <v>7.15</v>
      </c>
      <c r="HU9" s="29">
        <v>7.37</v>
      </c>
      <c r="HV9" s="29">
        <v>7.5</v>
      </c>
      <c r="HW9" s="29">
        <v>7.86</v>
      </c>
      <c r="HX9" s="29">
        <v>8.32</v>
      </c>
      <c r="HY9" s="29">
        <v>8.76</v>
      </c>
      <c r="HZ9" s="29">
        <v>8.39</v>
      </c>
      <c r="IA9" s="29">
        <v>9.98</v>
      </c>
      <c r="IB9" s="29">
        <v>10.85</v>
      </c>
      <c r="IC9" s="29">
        <v>10.49</v>
      </c>
      <c r="ID9" s="29">
        <v>12.06</v>
      </c>
      <c r="IE9" s="29">
        <v>10.91</v>
      </c>
      <c r="IF9" s="29">
        <v>11.15</v>
      </c>
      <c r="IG9" s="29">
        <v>10.11</v>
      </c>
      <c r="IH9" s="29">
        <v>9.74</v>
      </c>
      <c r="II9" s="29">
        <v>10.09</v>
      </c>
      <c r="IJ9" s="29">
        <v>10.3</v>
      </c>
      <c r="IK9" s="29">
        <v>10.18</v>
      </c>
      <c r="IL9" s="29">
        <v>9.67</v>
      </c>
      <c r="IM9" s="29">
        <v>12.83</v>
      </c>
      <c r="IN9" s="29">
        <v>12.3</v>
      </c>
      <c r="IO9" s="29">
        <v>10.94</v>
      </c>
      <c r="IP9" s="29">
        <v>11.17</v>
      </c>
      <c r="IQ9" s="29">
        <v>11.72</v>
      </c>
      <c r="IR9" s="29">
        <v>9.7100000000000009</v>
      </c>
      <c r="IS9" s="29">
        <v>10.01</v>
      </c>
      <c r="IT9" s="29">
        <v>9.9</v>
      </c>
      <c r="IU9" s="29">
        <v>10.08</v>
      </c>
      <c r="IV9" s="29">
        <v>10.63</v>
      </c>
      <c r="IW9" s="18">
        <v>11.11</v>
      </c>
      <c r="IX9" s="18">
        <v>11.03</v>
      </c>
      <c r="IY9" s="18">
        <v>12.56</v>
      </c>
      <c r="IZ9" s="19">
        <v>11.79</v>
      </c>
      <c r="JA9" s="20">
        <v>11.83</v>
      </c>
      <c r="JB9" s="20">
        <v>11.37</v>
      </c>
      <c r="JC9" s="20">
        <v>12.36</v>
      </c>
      <c r="JD9" s="20">
        <v>11.2</v>
      </c>
      <c r="JE9" s="20">
        <v>11.26</v>
      </c>
      <c r="JF9" s="21">
        <v>11.45</v>
      </c>
      <c r="JG9" s="22">
        <v>11.82</v>
      </c>
      <c r="JH9" s="22">
        <v>12.21</v>
      </c>
      <c r="JI9" s="20">
        <v>12.53</v>
      </c>
      <c r="JJ9" s="23">
        <v>16.86</v>
      </c>
      <c r="JK9" s="24">
        <v>13.19</v>
      </c>
      <c r="JL9" s="24">
        <v>12.53</v>
      </c>
      <c r="JM9" s="25">
        <v>12.51</v>
      </c>
      <c r="JN9" s="25">
        <v>13.15</v>
      </c>
      <c r="JO9" s="17">
        <v>12.7</v>
      </c>
      <c r="JP9" s="17">
        <v>11.73</v>
      </c>
      <c r="JQ9" s="25">
        <v>11.91</v>
      </c>
      <c r="JR9" s="25">
        <v>12.5</v>
      </c>
      <c r="JS9" s="25">
        <v>12.91</v>
      </c>
      <c r="JT9" s="25">
        <v>13.17</v>
      </c>
      <c r="JU9" s="17">
        <v>14.5</v>
      </c>
      <c r="JV9" s="18">
        <v>14.29</v>
      </c>
      <c r="JW9" s="18">
        <v>15.66</v>
      </c>
      <c r="JX9" s="18">
        <v>13.93</v>
      </c>
      <c r="JY9" s="18">
        <v>12.8</v>
      </c>
      <c r="JZ9" s="18">
        <v>12.45</v>
      </c>
      <c r="KA9" s="18">
        <v>14.69</v>
      </c>
      <c r="KB9" s="18">
        <v>15.18</v>
      </c>
      <c r="KC9" s="18">
        <v>15.25</v>
      </c>
      <c r="KD9" s="18">
        <v>12.54</v>
      </c>
      <c r="KE9" s="18">
        <v>9.83</v>
      </c>
      <c r="KF9" s="18">
        <v>7.12</v>
      </c>
      <c r="KG9" s="26">
        <v>13.46</v>
      </c>
      <c r="KH9" s="26">
        <v>14.48</v>
      </c>
      <c r="KI9" s="26">
        <v>13.15</v>
      </c>
      <c r="KJ9" s="26">
        <v>13.17</v>
      </c>
      <c r="KK9" s="26">
        <v>12.63</v>
      </c>
      <c r="KL9" s="18">
        <v>10.64</v>
      </c>
      <c r="KM9" s="26">
        <v>11.02</v>
      </c>
      <c r="KN9" s="18">
        <v>12.4</v>
      </c>
      <c r="KO9" s="18">
        <v>12.25</v>
      </c>
      <c r="KP9" s="18">
        <v>12.370000000000001</v>
      </c>
      <c r="KQ9" s="18">
        <v>13.05</v>
      </c>
      <c r="KR9" s="18">
        <v>13.35</v>
      </c>
      <c r="KS9" s="18">
        <v>13.13</v>
      </c>
      <c r="KT9" s="18">
        <v>13.38</v>
      </c>
      <c r="KU9" s="26">
        <v>14.780000000000001</v>
      </c>
      <c r="KV9" s="18">
        <v>14.31</v>
      </c>
      <c r="KW9" s="17">
        <v>13.94</v>
      </c>
      <c r="KX9" s="17">
        <v>12.63</v>
      </c>
      <c r="KY9" s="18">
        <v>12.280000000000001</v>
      </c>
      <c r="KZ9" s="17">
        <v>12.42</v>
      </c>
      <c r="LA9" s="17">
        <v>12.5</v>
      </c>
      <c r="LB9" s="17">
        <v>12.6</v>
      </c>
      <c r="LC9" s="17">
        <v>13.14</v>
      </c>
      <c r="LD9" s="17">
        <v>14.3</v>
      </c>
      <c r="LE9" s="17">
        <v>12.65</v>
      </c>
      <c r="LF9" s="17">
        <v>14.38</v>
      </c>
      <c r="LG9" s="18">
        <v>13.78</v>
      </c>
      <c r="LH9" s="18">
        <v>14.4</v>
      </c>
      <c r="LI9" s="18">
        <v>13.92</v>
      </c>
      <c r="LJ9" s="18">
        <v>12.86</v>
      </c>
      <c r="LK9" s="18">
        <v>13.35</v>
      </c>
      <c r="LL9" s="18">
        <v>12.84</v>
      </c>
      <c r="LM9" s="18">
        <v>13.03</v>
      </c>
      <c r="LN9" s="18">
        <v>13.09</v>
      </c>
      <c r="LO9" s="18">
        <v>13.04</v>
      </c>
      <c r="LP9" s="18">
        <v>13.34</v>
      </c>
      <c r="LQ9" s="18">
        <v>13.17</v>
      </c>
      <c r="LR9" s="18">
        <v>14.309999999999999</v>
      </c>
      <c r="LS9" s="18">
        <v>13.78</v>
      </c>
      <c r="LT9" s="18">
        <v>14.809999999999999</v>
      </c>
      <c r="LU9" s="18">
        <v>14.2</v>
      </c>
      <c r="LV9" s="17">
        <v>14.729999999999999</v>
      </c>
      <c r="LW9" s="17">
        <v>14.84</v>
      </c>
      <c r="LX9" s="17">
        <v>13.700000000000001</v>
      </c>
      <c r="LY9" s="17">
        <v>14.92</v>
      </c>
      <c r="LZ9" s="17">
        <v>14.14</v>
      </c>
      <c r="MA9" s="17">
        <v>14.28</v>
      </c>
      <c r="MB9" s="17">
        <v>14.89</v>
      </c>
      <c r="MC9" s="17">
        <v>14.64</v>
      </c>
      <c r="MD9" s="17">
        <v>15.270000000000001</v>
      </c>
      <c r="ME9" s="17">
        <v>16.709999999999997</v>
      </c>
      <c r="MF9" s="17">
        <v>16.189999999999998</v>
      </c>
      <c r="MG9" s="17">
        <v>15.290000000000001</v>
      </c>
      <c r="MH9" s="17">
        <v>13.96</v>
      </c>
      <c r="MI9" s="17">
        <v>14.83</v>
      </c>
      <c r="MJ9" s="17">
        <v>14.23</v>
      </c>
      <c r="MK9" s="17">
        <v>17.689999999999998</v>
      </c>
      <c r="ML9" s="17">
        <v>13.07</v>
      </c>
      <c r="MM9" s="27">
        <v>14.83</v>
      </c>
      <c r="MN9" s="27">
        <f>VLOOKUP(B9,[1]Sheet1!$A:$N,7,0)</f>
        <v>15.19</v>
      </c>
      <c r="MO9" s="27">
        <f>VLOOKUP(B9,[1]Sheet1!$A:$N,8,0)</f>
        <v>16.189999999999998</v>
      </c>
      <c r="MP9" s="27">
        <f>VLOOKUP(B9,[1]Sheet1!$A:$N,9,0)</f>
        <v>14.37</v>
      </c>
      <c r="MQ9" s="27">
        <f>VLOOKUP(B9,[1]Sheet1!$A:$N,10,0)</f>
        <v>16.779999999999998</v>
      </c>
      <c r="MR9" s="27">
        <f>VLOOKUP(B9,[1]Sheet1!$A:$N,11,0)</f>
        <v>16.509999999999998</v>
      </c>
      <c r="MS9" s="27">
        <f>VLOOKUP(B9,[1]Sheet1!$A:$N,12,0)</f>
        <v>14.69</v>
      </c>
      <c r="MT9" s="27">
        <f>VLOOKUP(B9,[1]Sheet1!$A:$N,13,0)</f>
        <v>16.22</v>
      </c>
      <c r="MU9" s="27">
        <f>VLOOKUP(B9,[1]Sheet1!$A:$N,14,0)</f>
        <v>16.41</v>
      </c>
    </row>
    <row r="10" spans="1:360" s="27" customFormat="1" ht="18.75" customHeight="1" x14ac:dyDescent="0.25">
      <c r="A10" s="8" t="s">
        <v>0</v>
      </c>
      <c r="B10" s="8">
        <v>10215</v>
      </c>
      <c r="C10" s="9" t="s">
        <v>20</v>
      </c>
      <c r="D10" s="10" t="s">
        <v>41</v>
      </c>
      <c r="E10" s="10" t="s">
        <v>3</v>
      </c>
      <c r="F10" s="11" t="s">
        <v>28</v>
      </c>
      <c r="G10" s="39" t="s">
        <v>1</v>
      </c>
      <c r="H10" s="41">
        <v>25</v>
      </c>
      <c r="I10" s="13" t="s">
        <v>2</v>
      </c>
      <c r="J10" s="28">
        <v>10.119999999999999</v>
      </c>
      <c r="K10" s="15">
        <v>16.325232</v>
      </c>
      <c r="L10" s="15">
        <v>80.864463000000001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29">
        <v>0.56000000000000005</v>
      </c>
      <c r="EQ10" s="29">
        <v>0.69</v>
      </c>
      <c r="ER10" s="29">
        <v>0.77</v>
      </c>
      <c r="ES10" s="29">
        <v>1.29</v>
      </c>
      <c r="ET10" s="29">
        <v>1.84</v>
      </c>
      <c r="EU10" s="29">
        <v>2.04</v>
      </c>
      <c r="EV10" s="29">
        <v>0.78</v>
      </c>
      <c r="EW10" s="29">
        <v>0.81</v>
      </c>
      <c r="EX10" s="29">
        <v>0.79</v>
      </c>
      <c r="EY10" s="29">
        <v>0.7</v>
      </c>
      <c r="EZ10" s="29">
        <v>0.96</v>
      </c>
      <c r="FA10" s="29">
        <v>0.24</v>
      </c>
      <c r="FB10" s="29">
        <v>1.42</v>
      </c>
      <c r="FC10" s="29">
        <v>1.48</v>
      </c>
      <c r="FD10" s="29">
        <v>2.19</v>
      </c>
      <c r="FE10" s="29">
        <v>1.71</v>
      </c>
      <c r="FF10" s="29">
        <v>1.85</v>
      </c>
      <c r="FG10" s="29">
        <v>2.2999999999999998</v>
      </c>
      <c r="FH10" s="29">
        <v>2.13</v>
      </c>
      <c r="FI10" s="29">
        <v>1.46</v>
      </c>
      <c r="FJ10" s="29">
        <v>1.41</v>
      </c>
      <c r="FK10" s="29">
        <v>1.28</v>
      </c>
      <c r="FL10" s="29">
        <v>1.2</v>
      </c>
      <c r="FM10" s="29">
        <v>1.37</v>
      </c>
      <c r="FN10" s="29">
        <v>1.44</v>
      </c>
      <c r="FO10" s="29">
        <v>1.51</v>
      </c>
      <c r="FP10" s="29">
        <v>1.64</v>
      </c>
      <c r="FQ10" s="29">
        <v>1.92</v>
      </c>
      <c r="FR10" s="29">
        <v>2.02</v>
      </c>
      <c r="FS10" s="29">
        <v>1.89</v>
      </c>
      <c r="FT10" s="29">
        <v>1.39</v>
      </c>
      <c r="FU10" s="29">
        <v>1.1399999999999999</v>
      </c>
      <c r="FV10" s="29">
        <v>0.94</v>
      </c>
      <c r="FW10" s="29">
        <v>0.94</v>
      </c>
      <c r="FX10" s="29">
        <v>1.04</v>
      </c>
      <c r="FY10" s="29">
        <v>1.22</v>
      </c>
      <c r="FZ10" s="29">
        <v>1.1399999999999999</v>
      </c>
      <c r="GA10" s="29">
        <v>1.27</v>
      </c>
      <c r="GB10" s="29">
        <v>1.37</v>
      </c>
      <c r="GC10" s="29">
        <v>1.48</v>
      </c>
      <c r="GD10" s="29">
        <v>1.75</v>
      </c>
      <c r="GE10" s="29">
        <v>1.86</v>
      </c>
      <c r="GF10" s="29">
        <v>1.76</v>
      </c>
      <c r="GG10" s="29">
        <v>1.51</v>
      </c>
      <c r="GH10" s="29">
        <v>1.44</v>
      </c>
      <c r="GI10" s="29">
        <v>1.24</v>
      </c>
      <c r="GJ10" s="29">
        <v>1.36</v>
      </c>
      <c r="GK10" s="29">
        <v>1.34</v>
      </c>
      <c r="GL10" s="29">
        <v>1.44</v>
      </c>
      <c r="GM10" s="29">
        <v>1.5</v>
      </c>
      <c r="GN10" s="29">
        <v>1.64</v>
      </c>
      <c r="GO10" s="29">
        <v>2.39</v>
      </c>
      <c r="GP10" s="29">
        <v>2.64</v>
      </c>
      <c r="GQ10" s="29">
        <v>2.84</v>
      </c>
      <c r="GR10" s="29">
        <v>1.97</v>
      </c>
      <c r="GS10" s="29">
        <v>1.67</v>
      </c>
      <c r="GT10" s="29">
        <v>1.42</v>
      </c>
      <c r="GU10" s="29">
        <v>1.24</v>
      </c>
      <c r="GV10" s="29">
        <v>1.24</v>
      </c>
      <c r="GW10" s="29">
        <v>1.2</v>
      </c>
      <c r="GX10" s="29">
        <v>1.33</v>
      </c>
      <c r="GY10" s="29">
        <v>1.4</v>
      </c>
      <c r="GZ10" s="29">
        <v>1.58</v>
      </c>
      <c r="HA10" s="29">
        <v>1.68</v>
      </c>
      <c r="HB10" s="29">
        <v>1.9</v>
      </c>
      <c r="HC10" s="29">
        <v>1.84</v>
      </c>
      <c r="HD10" s="29">
        <v>2.1</v>
      </c>
      <c r="HE10" s="29">
        <v>1.49</v>
      </c>
      <c r="HF10" s="29">
        <v>1.21</v>
      </c>
      <c r="HG10" s="29">
        <v>0.99</v>
      </c>
      <c r="HH10" s="29">
        <v>0.99</v>
      </c>
      <c r="HI10" s="29">
        <v>1.04</v>
      </c>
      <c r="HJ10" s="29">
        <v>1.4</v>
      </c>
      <c r="HK10" s="29">
        <v>1.0900000000000001</v>
      </c>
      <c r="HL10" s="29">
        <v>1.1499999999999999</v>
      </c>
      <c r="HM10" s="29">
        <v>1.23</v>
      </c>
      <c r="HN10" s="29">
        <v>1.35</v>
      </c>
      <c r="HO10" s="29">
        <v>1.62</v>
      </c>
      <c r="HP10" s="29">
        <v>1.85</v>
      </c>
      <c r="HQ10" s="29">
        <v>1.85</v>
      </c>
      <c r="HR10" s="29">
        <v>1.28</v>
      </c>
      <c r="HS10" s="29">
        <v>1.1499999999999999</v>
      </c>
      <c r="HT10" s="29">
        <v>1.1499999999999999</v>
      </c>
      <c r="HU10" s="29">
        <v>1.2</v>
      </c>
      <c r="HV10" s="29">
        <v>1.26</v>
      </c>
      <c r="HW10" s="29">
        <v>1.43</v>
      </c>
      <c r="HX10" s="29">
        <v>1.45</v>
      </c>
      <c r="HY10" s="29">
        <v>1.55</v>
      </c>
      <c r="HZ10" s="29">
        <v>1.84</v>
      </c>
      <c r="IA10" s="29">
        <v>1.94</v>
      </c>
      <c r="IB10" s="29">
        <v>4.18</v>
      </c>
      <c r="IC10" s="29">
        <v>4.28</v>
      </c>
      <c r="ID10" s="29">
        <v>3.55</v>
      </c>
      <c r="IE10" s="29">
        <v>3.6</v>
      </c>
      <c r="IF10" s="29">
        <v>2.76</v>
      </c>
      <c r="IG10" s="29">
        <v>3.07</v>
      </c>
      <c r="IH10" s="29">
        <v>3.37</v>
      </c>
      <c r="II10" s="29">
        <v>3.62</v>
      </c>
      <c r="IJ10" s="29">
        <v>4.25</v>
      </c>
      <c r="IK10" s="29">
        <v>4.5</v>
      </c>
      <c r="IL10" s="29">
        <v>4.6500000000000004</v>
      </c>
      <c r="IM10" s="29">
        <v>4.53</v>
      </c>
      <c r="IN10" s="29">
        <v>4.67</v>
      </c>
      <c r="IO10" s="29">
        <v>4.79</v>
      </c>
      <c r="IP10" s="29">
        <v>1.43</v>
      </c>
      <c r="IQ10" s="29">
        <v>1.46</v>
      </c>
      <c r="IR10" s="29">
        <v>1.49</v>
      </c>
      <c r="IS10" s="29">
        <v>1.61</v>
      </c>
      <c r="IT10" s="29">
        <v>3</v>
      </c>
      <c r="IU10" s="29">
        <v>3.49</v>
      </c>
      <c r="IV10" s="29">
        <v>3.86</v>
      </c>
      <c r="IW10" s="18">
        <v>4.13</v>
      </c>
      <c r="IX10" s="18">
        <v>4.47</v>
      </c>
      <c r="IY10" s="18">
        <v>4.49</v>
      </c>
      <c r="IZ10" s="19">
        <v>4.04</v>
      </c>
      <c r="JA10" s="20">
        <v>1.82</v>
      </c>
      <c r="JB10" s="20">
        <v>1.02</v>
      </c>
      <c r="JC10" s="20">
        <v>1.0900000000000001</v>
      </c>
      <c r="JD10" s="20">
        <v>1.77</v>
      </c>
      <c r="JE10" s="20">
        <v>2.77</v>
      </c>
      <c r="JF10" s="21">
        <v>3.21</v>
      </c>
      <c r="JG10" s="22">
        <v>4.05</v>
      </c>
      <c r="JH10" s="22">
        <v>4.09</v>
      </c>
      <c r="JI10" s="20">
        <v>4.51</v>
      </c>
      <c r="JJ10" s="23">
        <v>4.8499999999999996</v>
      </c>
      <c r="JK10" s="24">
        <v>5.05</v>
      </c>
      <c r="JL10" s="24">
        <v>4.13</v>
      </c>
      <c r="JM10" s="25">
        <v>2.79</v>
      </c>
      <c r="JN10" s="25">
        <v>2.4900000000000002</v>
      </c>
      <c r="JO10" s="17">
        <v>1.07</v>
      </c>
      <c r="JP10" s="17">
        <v>1.08</v>
      </c>
      <c r="JQ10" s="25">
        <v>2.23</v>
      </c>
      <c r="JR10" s="25">
        <v>2.93</v>
      </c>
      <c r="JS10" s="25">
        <v>3.27</v>
      </c>
      <c r="JT10" s="25">
        <v>3.85</v>
      </c>
      <c r="JU10" s="17">
        <v>4.3600000000000003</v>
      </c>
      <c r="JV10" s="18">
        <v>4.71</v>
      </c>
      <c r="JW10" s="18">
        <v>5.33</v>
      </c>
      <c r="JX10" s="18">
        <v>5.29</v>
      </c>
      <c r="JY10" s="18">
        <v>4.2699999999999996</v>
      </c>
      <c r="JZ10" s="18">
        <v>1</v>
      </c>
      <c r="KA10" s="18">
        <v>0.99</v>
      </c>
      <c r="KB10" s="18">
        <v>2.04</v>
      </c>
      <c r="KC10" s="18">
        <v>2.35</v>
      </c>
      <c r="KD10" s="18">
        <v>2.81</v>
      </c>
      <c r="KE10" s="18">
        <v>3.27</v>
      </c>
      <c r="KF10" s="18">
        <v>3.73</v>
      </c>
      <c r="KG10" s="26">
        <v>4.95</v>
      </c>
      <c r="KH10" s="26">
        <v>4.46</v>
      </c>
      <c r="KI10" s="26">
        <v>4.8</v>
      </c>
      <c r="KJ10" s="26">
        <v>3.42</v>
      </c>
      <c r="KK10" s="26">
        <v>1.05</v>
      </c>
      <c r="KL10" s="18">
        <v>0.47</v>
      </c>
      <c r="KM10" s="26">
        <v>0.8899999999999999</v>
      </c>
      <c r="KN10" s="18">
        <v>0.83000000000000007</v>
      </c>
      <c r="KO10" s="18">
        <v>2.23</v>
      </c>
      <c r="KP10" s="18">
        <v>2.64</v>
      </c>
      <c r="KQ10" s="18">
        <v>3.08</v>
      </c>
      <c r="KR10" s="18">
        <v>3.53</v>
      </c>
      <c r="KS10" s="18">
        <v>3.68</v>
      </c>
      <c r="KT10" s="18">
        <v>3.5500000000000003</v>
      </c>
      <c r="KU10" s="26">
        <v>3.2499999999999996</v>
      </c>
      <c r="KV10" s="18">
        <v>3.78</v>
      </c>
      <c r="KW10" s="17">
        <v>2.65</v>
      </c>
      <c r="KX10" s="17">
        <v>2.84</v>
      </c>
      <c r="KY10" s="18">
        <v>1.4100000000000001</v>
      </c>
      <c r="KZ10" s="17">
        <v>1.38</v>
      </c>
      <c r="LA10" s="17">
        <v>1.33</v>
      </c>
      <c r="LB10" s="17">
        <v>1.54</v>
      </c>
      <c r="LC10" s="17">
        <v>1.4899999999999998</v>
      </c>
      <c r="LD10" s="17">
        <v>3.8299999999999996</v>
      </c>
      <c r="LE10" s="17">
        <v>3.3299999999999996</v>
      </c>
      <c r="LF10" s="17">
        <v>3.69</v>
      </c>
      <c r="LG10" s="18">
        <v>2.92</v>
      </c>
      <c r="LH10" s="18">
        <v>2.25</v>
      </c>
      <c r="LI10" s="18">
        <v>1.33</v>
      </c>
      <c r="LJ10" s="18">
        <v>0.74</v>
      </c>
      <c r="LK10" s="18">
        <v>1.22</v>
      </c>
      <c r="LL10" s="18">
        <v>1.18</v>
      </c>
      <c r="LM10" s="18">
        <v>2.5</v>
      </c>
      <c r="LN10" s="18">
        <v>2.85</v>
      </c>
      <c r="LO10" s="18">
        <v>3.06</v>
      </c>
      <c r="LP10" s="18">
        <v>3.31</v>
      </c>
      <c r="LQ10" s="18">
        <v>2.68</v>
      </c>
      <c r="LR10" s="18">
        <v>3.3000000000000003</v>
      </c>
      <c r="LS10" s="18">
        <v>0.92999999999999994</v>
      </c>
      <c r="LT10" s="18">
        <v>1.7200000000000002</v>
      </c>
      <c r="LU10" s="18">
        <v>1.01</v>
      </c>
      <c r="LV10" s="17">
        <v>1.9100000000000001</v>
      </c>
      <c r="LW10" s="17">
        <v>2.06</v>
      </c>
      <c r="LX10" s="17">
        <v>1.04</v>
      </c>
      <c r="LY10" s="17">
        <v>2.34</v>
      </c>
      <c r="LZ10" s="17">
        <v>2.9</v>
      </c>
      <c r="MA10" s="17">
        <v>3.23</v>
      </c>
      <c r="MB10" s="17">
        <v>3.7300000000000004</v>
      </c>
      <c r="MC10" s="17">
        <v>4.01</v>
      </c>
      <c r="MD10" s="17">
        <v>4.29</v>
      </c>
      <c r="ME10" s="17">
        <v>4.51</v>
      </c>
      <c r="MF10" s="17">
        <v>4.5</v>
      </c>
      <c r="MG10" s="17">
        <v>1.85</v>
      </c>
      <c r="MH10" s="17">
        <v>1</v>
      </c>
      <c r="MI10" s="17">
        <v>1.7800000000000002</v>
      </c>
      <c r="MJ10" s="17">
        <v>2.19</v>
      </c>
      <c r="MK10" s="17">
        <v>2.7</v>
      </c>
      <c r="ML10" s="17">
        <v>2.4500000000000002</v>
      </c>
      <c r="MM10" s="27">
        <v>6.07</v>
      </c>
      <c r="MN10" s="27">
        <f>VLOOKUP(B10,[1]Sheet1!$A:$N,7,0)</f>
        <v>3.61</v>
      </c>
      <c r="MO10" s="27">
        <f>VLOOKUP(B10,[1]Sheet1!$A:$N,8,0)</f>
        <v>4.5</v>
      </c>
      <c r="MP10" s="27">
        <f>VLOOKUP(B10,[1]Sheet1!$A:$N,9,0)</f>
        <v>3.67</v>
      </c>
      <c r="MQ10" s="27">
        <f>VLOOKUP(B10,[1]Sheet1!$A:$N,10,0)</f>
        <v>4.5599999999999996</v>
      </c>
      <c r="MR10" s="27">
        <f>VLOOKUP(B10,[1]Sheet1!$A:$N,11,0)</f>
        <v>2.5499999999999998</v>
      </c>
      <c r="MS10" s="27">
        <f>VLOOKUP(B10,[1]Sheet1!$A:$N,12,0)</f>
        <v>1.1200000000000001</v>
      </c>
      <c r="MT10" s="27">
        <f>VLOOKUP(B10,[1]Sheet1!$A:$N,13,0)</f>
        <v>0.7</v>
      </c>
      <c r="MU10" s="27">
        <f>VLOOKUP(B10,[1]Sheet1!$A:$N,14,0)</f>
        <v>1.18</v>
      </c>
    </row>
    <row r="11" spans="1:360" s="27" customFormat="1" ht="18.75" customHeight="1" x14ac:dyDescent="0.25">
      <c r="A11" s="8" t="s">
        <v>0</v>
      </c>
      <c r="B11" s="8">
        <v>10216</v>
      </c>
      <c r="C11" s="9" t="s">
        <v>20</v>
      </c>
      <c r="D11" s="10" t="s">
        <v>42</v>
      </c>
      <c r="E11" s="10" t="s">
        <v>43</v>
      </c>
      <c r="F11" s="11" t="s">
        <v>30</v>
      </c>
      <c r="G11" s="39" t="s">
        <v>1</v>
      </c>
      <c r="H11" s="41">
        <v>64.2</v>
      </c>
      <c r="I11" s="13" t="s">
        <v>2</v>
      </c>
      <c r="J11" s="28">
        <v>15.87</v>
      </c>
      <c r="K11" s="15">
        <v>16.440787</v>
      </c>
      <c r="L11" s="15">
        <v>80.738338999999996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29">
        <v>4.29</v>
      </c>
      <c r="BW11" s="29">
        <v>4.49</v>
      </c>
      <c r="BX11" s="29">
        <v>4.55</v>
      </c>
      <c r="BY11" s="29">
        <v>5.91</v>
      </c>
      <c r="BZ11" s="29">
        <v>5.78</v>
      </c>
      <c r="CA11" s="29">
        <v>6.4</v>
      </c>
      <c r="CB11" s="29">
        <v>5.64</v>
      </c>
      <c r="CC11" s="29">
        <v>5.14</v>
      </c>
      <c r="CD11" s="29">
        <v>4.09</v>
      </c>
      <c r="CE11" s="29">
        <v>4.4400000000000004</v>
      </c>
      <c r="CF11" s="29">
        <v>4.67</v>
      </c>
      <c r="CG11" s="29">
        <v>5.37</v>
      </c>
      <c r="CH11" s="29">
        <v>6.15</v>
      </c>
      <c r="CI11" s="29">
        <v>6.78</v>
      </c>
      <c r="CJ11" s="29">
        <v>7.04</v>
      </c>
      <c r="CK11" s="29">
        <v>8.36</v>
      </c>
      <c r="CL11" s="29">
        <v>8.4</v>
      </c>
      <c r="CM11" s="29">
        <v>8.1</v>
      </c>
      <c r="CN11" s="29">
        <v>7.61</v>
      </c>
      <c r="CO11" s="29">
        <v>8.0299999999999994</v>
      </c>
      <c r="CP11" s="29">
        <v>6.72</v>
      </c>
      <c r="CQ11" s="29">
        <v>6.9</v>
      </c>
      <c r="CR11" s="29">
        <v>5.74</v>
      </c>
      <c r="CS11" s="29">
        <v>6.13</v>
      </c>
      <c r="CT11" s="29">
        <v>6.43</v>
      </c>
      <c r="CU11" s="29">
        <v>7.9</v>
      </c>
      <c r="CV11" s="29">
        <v>8.58</v>
      </c>
      <c r="CW11" s="29">
        <v>8.6300000000000008</v>
      </c>
      <c r="CX11" s="29">
        <v>8.1999999999999993</v>
      </c>
      <c r="CY11" s="29">
        <v>9.1199999999999992</v>
      </c>
      <c r="CZ11" s="29">
        <v>8.5500000000000007</v>
      </c>
      <c r="DA11" s="29">
        <v>8.1199999999999992</v>
      </c>
      <c r="DB11" s="29">
        <v>6.27</v>
      </c>
      <c r="DC11" s="29">
        <v>6.02</v>
      </c>
      <c r="DD11" s="29">
        <v>5.49</v>
      </c>
      <c r="DE11" s="29">
        <v>5.9</v>
      </c>
      <c r="DF11" s="29">
        <v>6.92</v>
      </c>
      <c r="DG11" s="29">
        <v>6.94</v>
      </c>
      <c r="DH11" s="29">
        <v>7.99</v>
      </c>
      <c r="DI11" s="29">
        <v>9.1</v>
      </c>
      <c r="DJ11" s="29">
        <v>9.32</v>
      </c>
      <c r="DK11" s="29">
        <v>8.6300000000000008</v>
      </c>
      <c r="DL11" s="29">
        <v>5.66</v>
      </c>
      <c r="DM11" s="29">
        <v>5.03</v>
      </c>
      <c r="DN11" s="29">
        <v>3.54</v>
      </c>
      <c r="DO11" s="29">
        <v>3.51</v>
      </c>
      <c r="DP11" s="29">
        <v>4.07</v>
      </c>
      <c r="DQ11" s="29">
        <v>5.62</v>
      </c>
      <c r="DR11" s="29">
        <v>5.28</v>
      </c>
      <c r="DS11" s="29">
        <v>5.64</v>
      </c>
      <c r="DT11" s="29">
        <v>4.75</v>
      </c>
      <c r="DU11" s="29">
        <v>5.99</v>
      </c>
      <c r="DV11" s="29">
        <v>6.75</v>
      </c>
      <c r="DW11" s="29">
        <v>7.5</v>
      </c>
      <c r="DX11" s="29">
        <v>5.15</v>
      </c>
      <c r="DY11" s="29">
        <v>3.4</v>
      </c>
      <c r="DZ11" s="29">
        <v>4.24</v>
      </c>
      <c r="EA11" s="29">
        <v>2.54</v>
      </c>
      <c r="EB11" s="29">
        <v>3.84</v>
      </c>
      <c r="EC11" s="29">
        <v>4.4800000000000004</v>
      </c>
      <c r="ED11" s="29">
        <v>4.42</v>
      </c>
      <c r="EE11" s="29">
        <v>5</v>
      </c>
      <c r="EF11" s="29">
        <v>5.25</v>
      </c>
      <c r="EG11" s="29">
        <v>5.38</v>
      </c>
      <c r="EH11" s="29">
        <v>6.92</v>
      </c>
      <c r="EI11" s="29">
        <v>6.6280000000000001</v>
      </c>
      <c r="EJ11" s="29">
        <v>5.24</v>
      </c>
      <c r="EK11" s="29">
        <v>3.84</v>
      </c>
      <c r="EL11" s="29">
        <v>3.11</v>
      </c>
      <c r="EM11" s="29">
        <v>3.71</v>
      </c>
      <c r="EN11" s="29">
        <v>4.09</v>
      </c>
      <c r="EO11" s="29">
        <v>4.63</v>
      </c>
      <c r="EP11" s="29">
        <v>4.3099999999999996</v>
      </c>
      <c r="EQ11" s="29">
        <v>5.01</v>
      </c>
      <c r="ER11" s="29">
        <v>4.1500000000000004</v>
      </c>
      <c r="ES11" s="29">
        <v>4.7699999999999996</v>
      </c>
      <c r="ET11" s="29">
        <v>5.24</v>
      </c>
      <c r="EU11" s="29">
        <v>5.53</v>
      </c>
      <c r="EV11" s="29">
        <v>2.76</v>
      </c>
      <c r="EW11" s="29">
        <v>2.68</v>
      </c>
      <c r="EX11" s="29">
        <v>2.78</v>
      </c>
      <c r="EY11" s="29">
        <v>3.29</v>
      </c>
      <c r="EZ11" s="29">
        <v>2.72</v>
      </c>
      <c r="FA11" s="29">
        <v>6.19</v>
      </c>
      <c r="FB11" s="29">
        <v>6.4</v>
      </c>
      <c r="FC11" s="29">
        <v>6.47</v>
      </c>
      <c r="FD11" s="29">
        <v>5.4</v>
      </c>
      <c r="FE11" s="29">
        <v>6.65</v>
      </c>
      <c r="FF11" s="29">
        <v>7.7</v>
      </c>
      <c r="FG11" s="29">
        <v>8.06</v>
      </c>
      <c r="FH11" s="29">
        <v>7</v>
      </c>
      <c r="FI11" s="29">
        <v>7.01</v>
      </c>
      <c r="FJ11" s="29">
        <v>5.23</v>
      </c>
      <c r="FK11" s="29">
        <v>4.18</v>
      </c>
      <c r="FL11" s="29">
        <v>5.01</v>
      </c>
      <c r="FM11" s="29">
        <v>6.3</v>
      </c>
      <c r="FN11" s="29">
        <v>6.87</v>
      </c>
      <c r="FO11" s="29">
        <v>6.85</v>
      </c>
      <c r="FP11" s="29">
        <v>7.42</v>
      </c>
      <c r="FQ11" s="29">
        <v>7.25</v>
      </c>
      <c r="FR11" s="29">
        <v>7.55</v>
      </c>
      <c r="FS11" s="29">
        <v>7.05</v>
      </c>
      <c r="FT11" s="29">
        <v>5.75</v>
      </c>
      <c r="FU11" s="29">
        <v>4.6500000000000004</v>
      </c>
      <c r="FV11" s="29">
        <v>4.25</v>
      </c>
      <c r="FW11" s="29">
        <v>3.5</v>
      </c>
      <c r="FX11" s="29">
        <v>4.22</v>
      </c>
      <c r="FY11" s="29">
        <v>6.55</v>
      </c>
      <c r="FZ11" s="29">
        <v>6.02</v>
      </c>
      <c r="GA11" s="29">
        <v>6.46</v>
      </c>
      <c r="GB11" s="29">
        <v>6.59</v>
      </c>
      <c r="GC11" s="29">
        <v>6.95</v>
      </c>
      <c r="GD11" s="29">
        <v>7.85</v>
      </c>
      <c r="GE11" s="29">
        <v>7.41</v>
      </c>
      <c r="GF11" s="29">
        <v>6.74</v>
      </c>
      <c r="GG11" s="29">
        <v>6.15</v>
      </c>
      <c r="GH11" s="29">
        <v>5.9</v>
      </c>
      <c r="GI11" s="29">
        <v>5.55</v>
      </c>
      <c r="GJ11" s="29">
        <v>7.05</v>
      </c>
      <c r="GK11" s="29">
        <v>6.27</v>
      </c>
      <c r="GL11" s="29">
        <v>7.89</v>
      </c>
      <c r="GM11" s="29">
        <v>8.4499999999999993</v>
      </c>
      <c r="GN11" s="29">
        <v>8.68</v>
      </c>
      <c r="GO11" s="29">
        <v>8.86</v>
      </c>
      <c r="GP11" s="29">
        <v>8.8000000000000007</v>
      </c>
      <c r="GQ11" s="29">
        <v>8.75</v>
      </c>
      <c r="GR11" s="29">
        <v>8.15</v>
      </c>
      <c r="GS11" s="29">
        <v>7.43</v>
      </c>
      <c r="GT11" s="29">
        <v>7.39</v>
      </c>
      <c r="GU11" s="29">
        <v>6.1</v>
      </c>
      <c r="GV11" s="29">
        <v>8.57</v>
      </c>
      <c r="GW11" s="29">
        <v>9.25</v>
      </c>
      <c r="GX11" s="29">
        <v>8.02</v>
      </c>
      <c r="GY11" s="29">
        <v>8.85</v>
      </c>
      <c r="GZ11" s="29">
        <v>9.39</v>
      </c>
      <c r="HA11" s="29">
        <v>9.6</v>
      </c>
      <c r="HB11" s="29">
        <v>9.75</v>
      </c>
      <c r="HC11" s="29">
        <v>10.5</v>
      </c>
      <c r="HD11" s="29">
        <v>9.9499999999999993</v>
      </c>
      <c r="HE11" s="29">
        <v>4.4000000000000004</v>
      </c>
      <c r="HF11" s="29">
        <v>4.17</v>
      </c>
      <c r="HG11" s="29">
        <v>5.65</v>
      </c>
      <c r="HH11" s="29">
        <v>6.33</v>
      </c>
      <c r="HI11" s="29">
        <v>7.28</v>
      </c>
      <c r="HJ11" s="29">
        <v>8.6</v>
      </c>
      <c r="HK11" s="29">
        <v>10.71</v>
      </c>
      <c r="HL11" s="29">
        <v>9.17</v>
      </c>
      <c r="HM11" s="29">
        <v>9.43</v>
      </c>
      <c r="HN11" s="29">
        <v>9.68</v>
      </c>
      <c r="HO11" s="29">
        <v>11.15</v>
      </c>
      <c r="HP11" s="29">
        <v>10.97</v>
      </c>
      <c r="HQ11" s="29">
        <v>9.92</v>
      </c>
      <c r="HR11" s="29">
        <v>8.5500000000000007</v>
      </c>
      <c r="HS11" s="29">
        <v>7.98</v>
      </c>
      <c r="HT11" s="29">
        <v>8.5500000000000007</v>
      </c>
      <c r="HU11" s="29">
        <v>8.74</v>
      </c>
      <c r="HV11" s="29">
        <v>10.9</v>
      </c>
      <c r="HW11" s="29">
        <v>11.62</v>
      </c>
      <c r="HX11" s="29">
        <v>11.71</v>
      </c>
      <c r="HY11" s="29">
        <v>11.68</v>
      </c>
      <c r="HZ11" s="29">
        <v>11.6</v>
      </c>
      <c r="IA11" s="29">
        <v>12.07</v>
      </c>
      <c r="IB11" s="29">
        <v>11.72</v>
      </c>
      <c r="IC11" s="29">
        <v>12.21</v>
      </c>
      <c r="ID11" s="29">
        <v>14.41</v>
      </c>
      <c r="IE11" s="29">
        <v>13.5</v>
      </c>
      <c r="IF11" s="29">
        <v>13.56</v>
      </c>
      <c r="IG11" s="29">
        <v>14.19</v>
      </c>
      <c r="IH11" s="29">
        <v>14.7</v>
      </c>
      <c r="II11" s="29">
        <v>14.9</v>
      </c>
      <c r="IJ11" s="29">
        <v>14.6</v>
      </c>
      <c r="IK11" s="29">
        <v>14.63</v>
      </c>
      <c r="IL11" s="29">
        <v>13.68</v>
      </c>
      <c r="IM11" s="29">
        <v>14.77</v>
      </c>
      <c r="IN11" s="29">
        <v>14.5</v>
      </c>
      <c r="IO11" s="29">
        <v>13.63</v>
      </c>
      <c r="IP11" s="29">
        <v>13.55</v>
      </c>
      <c r="IQ11" s="29">
        <v>13.28</v>
      </c>
      <c r="IR11" s="29">
        <v>13.02</v>
      </c>
      <c r="IS11" s="29">
        <v>14.17</v>
      </c>
      <c r="IT11" s="29">
        <v>14.41</v>
      </c>
      <c r="IU11" s="29">
        <v>15.37</v>
      </c>
      <c r="IV11" s="29">
        <v>14.41</v>
      </c>
      <c r="IW11" s="18">
        <v>14.87</v>
      </c>
      <c r="IX11" s="18">
        <v>13.99</v>
      </c>
      <c r="IY11" s="18">
        <v>14.97</v>
      </c>
      <c r="IZ11" s="19">
        <v>14.95</v>
      </c>
      <c r="JA11" s="20">
        <v>15.18</v>
      </c>
      <c r="JB11" s="20">
        <v>14.89</v>
      </c>
      <c r="JC11" s="20">
        <v>14.41</v>
      </c>
      <c r="JD11" s="20">
        <v>13.82</v>
      </c>
      <c r="JE11" s="20">
        <v>15.15</v>
      </c>
      <c r="JF11" s="21">
        <v>16.57</v>
      </c>
      <c r="JG11" s="22">
        <v>16.61</v>
      </c>
      <c r="JH11" s="22">
        <v>15.9</v>
      </c>
      <c r="JI11" s="20">
        <v>15.77</v>
      </c>
      <c r="JJ11" s="23">
        <v>15.9</v>
      </c>
      <c r="JK11" s="24">
        <v>15.77</v>
      </c>
      <c r="JL11" s="24">
        <v>15.67</v>
      </c>
      <c r="JM11" s="25">
        <v>15.2</v>
      </c>
      <c r="JN11" s="25">
        <v>15.63</v>
      </c>
      <c r="JO11" s="17">
        <v>14.57</v>
      </c>
      <c r="JP11" s="17">
        <v>14.23</v>
      </c>
      <c r="JQ11" s="25">
        <v>14.41</v>
      </c>
      <c r="JR11" s="25">
        <v>17.239999999999998</v>
      </c>
      <c r="JS11" s="25">
        <v>16.96</v>
      </c>
      <c r="JT11" s="25">
        <v>16.5</v>
      </c>
      <c r="JU11" s="17">
        <v>16.7</v>
      </c>
      <c r="JV11" s="18">
        <v>17.100000000000001</v>
      </c>
      <c r="JW11" s="18">
        <v>16.75</v>
      </c>
      <c r="JX11" s="18">
        <v>16.75</v>
      </c>
      <c r="JY11" s="18">
        <v>15.18</v>
      </c>
      <c r="JZ11" s="18">
        <v>14.82</v>
      </c>
      <c r="KA11" s="18">
        <v>14.5</v>
      </c>
      <c r="KB11" s="18">
        <v>13.67</v>
      </c>
      <c r="KC11" s="18">
        <v>14.24</v>
      </c>
      <c r="KD11" s="18">
        <v>16.87</v>
      </c>
      <c r="KE11" s="18">
        <v>19.5</v>
      </c>
      <c r="KF11" s="18">
        <v>22.13</v>
      </c>
      <c r="KG11" s="26"/>
      <c r="KH11" s="26">
        <v>15.77</v>
      </c>
      <c r="KI11" s="26">
        <v>16.12</v>
      </c>
      <c r="KJ11" s="26">
        <v>15.94</v>
      </c>
      <c r="KK11" s="26">
        <v>15.62</v>
      </c>
      <c r="KL11" s="18">
        <v>13.889999999999999</v>
      </c>
      <c r="KM11" s="26">
        <v>13.69</v>
      </c>
      <c r="KN11" s="18">
        <v>14.12</v>
      </c>
      <c r="KO11" s="18">
        <v>15.479999999999999</v>
      </c>
      <c r="KP11" s="18">
        <v>15.909999999999998</v>
      </c>
      <c r="KQ11" s="18">
        <v>14.709999999999999</v>
      </c>
      <c r="KR11" s="18">
        <v>15.839999999999998</v>
      </c>
      <c r="KS11" s="18">
        <v>15.38</v>
      </c>
      <c r="KT11" s="18">
        <v>15.33</v>
      </c>
      <c r="KU11" s="26">
        <v>15.609999999999998</v>
      </c>
      <c r="KV11" s="18">
        <v>15.12</v>
      </c>
      <c r="KW11" s="17">
        <v>14.33</v>
      </c>
      <c r="KX11" s="17">
        <v>13.95</v>
      </c>
      <c r="KY11" s="18">
        <v>14.12</v>
      </c>
      <c r="KZ11" s="17">
        <v>14.409999999999998</v>
      </c>
      <c r="LA11" s="17">
        <v>13.799999999999999</v>
      </c>
      <c r="LB11" s="17">
        <v>14.12</v>
      </c>
      <c r="LC11" s="17">
        <v>14.2</v>
      </c>
      <c r="LD11" s="17">
        <v>15.08</v>
      </c>
      <c r="LE11" s="17">
        <v>14.35</v>
      </c>
      <c r="LF11" s="17">
        <v>14.62</v>
      </c>
      <c r="LG11" s="8">
        <v>13.74</v>
      </c>
      <c r="LH11" s="18">
        <v>14.18</v>
      </c>
      <c r="LI11" s="18">
        <v>14.18</v>
      </c>
      <c r="LJ11" s="18">
        <v>13.67</v>
      </c>
      <c r="LK11" s="18">
        <v>12.69</v>
      </c>
      <c r="LL11" s="18">
        <v>13.12</v>
      </c>
      <c r="LM11" s="18">
        <v>14.02</v>
      </c>
      <c r="LN11" s="18">
        <v>14.149999999999999</v>
      </c>
      <c r="LO11" s="18">
        <v>14.35</v>
      </c>
      <c r="LP11" s="18">
        <v>14.889999999999999</v>
      </c>
      <c r="LQ11" s="18">
        <v>14.129999999999999</v>
      </c>
      <c r="LR11" s="18">
        <v>14.59</v>
      </c>
      <c r="LS11" s="18">
        <v>14.149999999999999</v>
      </c>
      <c r="LT11" s="18">
        <v>14.37</v>
      </c>
      <c r="LU11" s="18">
        <v>14.6</v>
      </c>
      <c r="LV11" s="17">
        <v>15.749999999999998</v>
      </c>
      <c r="LW11" s="17">
        <v>14.07</v>
      </c>
      <c r="LX11" s="17">
        <v>13.47</v>
      </c>
      <c r="LY11" s="17">
        <v>15.09</v>
      </c>
      <c r="LZ11" s="17">
        <v>15.639999999999999</v>
      </c>
      <c r="MA11" s="17">
        <v>16.52</v>
      </c>
      <c r="MB11" s="17">
        <v>15.87</v>
      </c>
      <c r="MC11" s="17">
        <v>15.92</v>
      </c>
      <c r="MD11" s="17">
        <v>15.04</v>
      </c>
      <c r="ME11" s="17">
        <v>15.31</v>
      </c>
      <c r="MF11" s="17">
        <v>15.67</v>
      </c>
      <c r="MG11" s="17">
        <v>14.04</v>
      </c>
      <c r="MH11" s="17">
        <v>13.2</v>
      </c>
      <c r="MI11" s="17">
        <v>13.27</v>
      </c>
      <c r="MJ11" s="17">
        <v>14.06</v>
      </c>
      <c r="MK11" s="17">
        <v>14.92</v>
      </c>
      <c r="ML11" s="17">
        <v>15.12</v>
      </c>
      <c r="MM11" s="27">
        <v>16.63</v>
      </c>
      <c r="MN11" s="27">
        <f>VLOOKUP(B11,[1]Sheet1!$A:$N,7,0)</f>
        <v>15.19</v>
      </c>
      <c r="MO11" s="27">
        <f>VLOOKUP(B11,[1]Sheet1!$A:$N,8,0)</f>
        <v>15.67</v>
      </c>
      <c r="MP11" s="27">
        <f>VLOOKUP(B11,[1]Sheet1!$A:$N,9,0)</f>
        <v>14.97</v>
      </c>
      <c r="MQ11" s="27">
        <f>VLOOKUP(B11,[1]Sheet1!$A:$N,10,0)</f>
        <v>15.13</v>
      </c>
      <c r="MR11" s="27">
        <f>VLOOKUP(B11,[1]Sheet1!$A:$N,11,0)</f>
        <v>14.32</v>
      </c>
      <c r="MS11" s="27">
        <f>VLOOKUP(B11,[1]Sheet1!$A:$N,12,0)</f>
        <v>13.6</v>
      </c>
      <c r="MT11" s="27">
        <f>VLOOKUP(B11,[1]Sheet1!$A:$N,13,0)</f>
        <v>13.49</v>
      </c>
      <c r="MU11" s="27">
        <f>VLOOKUP(B11,[1]Sheet1!$A:$N,14,0)</f>
        <v>12.55</v>
      </c>
    </row>
    <row r="12" spans="1:360" s="27" customFormat="1" ht="18.75" customHeight="1" x14ac:dyDescent="0.25">
      <c r="A12" s="8" t="s">
        <v>0</v>
      </c>
      <c r="B12" s="8">
        <v>10217</v>
      </c>
      <c r="C12" s="9" t="s">
        <v>20</v>
      </c>
      <c r="D12" s="10" t="s">
        <v>44</v>
      </c>
      <c r="E12" s="10" t="s">
        <v>45</v>
      </c>
      <c r="F12" s="11" t="s">
        <v>46</v>
      </c>
      <c r="G12" s="39" t="s">
        <v>1</v>
      </c>
      <c r="H12" s="41">
        <v>41.78</v>
      </c>
      <c r="I12" s="13" t="s">
        <v>2</v>
      </c>
      <c r="J12" s="28">
        <v>10.69</v>
      </c>
      <c r="K12" s="15">
        <v>16.445253000000001</v>
      </c>
      <c r="L12" s="15">
        <v>80.862200999999999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29">
        <v>1.17</v>
      </c>
      <c r="BW12" s="29">
        <v>0.62</v>
      </c>
      <c r="BX12" s="29">
        <v>1.67</v>
      </c>
      <c r="BY12" s="29">
        <v>2.75</v>
      </c>
      <c r="BZ12" s="29">
        <v>3.45</v>
      </c>
      <c r="CA12" s="29">
        <v>3.43</v>
      </c>
      <c r="CB12" s="29">
        <v>1.1000000000000001</v>
      </c>
      <c r="CC12" s="29">
        <v>0.7</v>
      </c>
      <c r="CD12" s="29">
        <v>0.33</v>
      </c>
      <c r="CE12" s="29">
        <v>0.95</v>
      </c>
      <c r="CF12" s="29">
        <v>1.99</v>
      </c>
      <c r="CG12" s="29">
        <v>2.96</v>
      </c>
      <c r="CH12" s="29">
        <v>3.29</v>
      </c>
      <c r="CI12" s="29">
        <v>3.34</v>
      </c>
      <c r="CJ12" s="29">
        <v>3.78</v>
      </c>
      <c r="CK12" s="29">
        <v>4.67</v>
      </c>
      <c r="CL12" s="29">
        <v>5.33</v>
      </c>
      <c r="CM12" s="29">
        <v>5.01</v>
      </c>
      <c r="CN12" s="29">
        <v>4.34</v>
      </c>
      <c r="CO12" s="29">
        <v>4.8</v>
      </c>
      <c r="CP12" s="29">
        <v>2.74</v>
      </c>
      <c r="CQ12" s="29">
        <v>2.56</v>
      </c>
      <c r="CR12" s="29">
        <v>0.15</v>
      </c>
      <c r="CS12" s="29">
        <v>2.2999999999999998</v>
      </c>
      <c r="CT12" s="29">
        <v>3.27</v>
      </c>
      <c r="CU12" s="29">
        <v>3.79</v>
      </c>
      <c r="CV12" s="29">
        <v>4.75</v>
      </c>
      <c r="CW12" s="29">
        <v>4.99</v>
      </c>
      <c r="CX12" s="29">
        <v>4.46</v>
      </c>
      <c r="CY12" s="29">
        <v>4.93</v>
      </c>
      <c r="CZ12" s="29">
        <v>4.1399999999999997</v>
      </c>
      <c r="DA12" s="29">
        <v>2.2400000000000002</v>
      </c>
      <c r="DB12" s="29">
        <v>0.76000009999999996</v>
      </c>
      <c r="DC12" s="29">
        <v>1.02</v>
      </c>
      <c r="DD12" s="29">
        <v>1.66</v>
      </c>
      <c r="DE12" s="29">
        <v>2.0499999999999998</v>
      </c>
      <c r="DF12" s="29">
        <v>3.3</v>
      </c>
      <c r="DG12" s="29">
        <v>3.15</v>
      </c>
      <c r="DH12" s="29">
        <v>4.6900000000000004</v>
      </c>
      <c r="DI12" s="29">
        <v>4.6500000000000004</v>
      </c>
      <c r="DJ12" s="29">
        <v>5.66</v>
      </c>
      <c r="DK12" s="29">
        <v>3.52</v>
      </c>
      <c r="DL12" s="29">
        <v>1.65</v>
      </c>
      <c r="DM12" s="29">
        <v>0.5</v>
      </c>
      <c r="DN12" s="29">
        <v>0.33</v>
      </c>
      <c r="DO12" s="29">
        <v>1.01</v>
      </c>
      <c r="DP12" s="29">
        <v>1.6</v>
      </c>
      <c r="DQ12" s="29">
        <v>1.59</v>
      </c>
      <c r="DR12" s="29">
        <v>1.19</v>
      </c>
      <c r="DS12" s="29">
        <v>1.81</v>
      </c>
      <c r="DT12" s="29">
        <v>0.49</v>
      </c>
      <c r="DU12" s="29">
        <v>2.86</v>
      </c>
      <c r="DV12" s="29">
        <v>2.62</v>
      </c>
      <c r="DW12" s="29">
        <v>1.45</v>
      </c>
      <c r="DX12" s="29">
        <v>0.51000009999999996</v>
      </c>
      <c r="DY12" s="29">
        <v>0.19</v>
      </c>
      <c r="DZ12" s="29">
        <v>0.37</v>
      </c>
      <c r="EA12" s="29">
        <v>0.73</v>
      </c>
      <c r="EB12" s="29">
        <v>0.92</v>
      </c>
      <c r="EC12" s="29">
        <v>1.38</v>
      </c>
      <c r="ED12" s="29">
        <v>1.69</v>
      </c>
      <c r="EE12" s="29">
        <v>1.8</v>
      </c>
      <c r="EF12" s="29">
        <v>2.2200000000000002</v>
      </c>
      <c r="EG12" s="29">
        <v>2.88</v>
      </c>
      <c r="EH12" s="29">
        <v>3.73</v>
      </c>
      <c r="EI12" s="29">
        <v>1.39</v>
      </c>
      <c r="EJ12" s="29">
        <v>0.25</v>
      </c>
      <c r="EK12" s="29">
        <v>0.18</v>
      </c>
      <c r="EL12" s="29">
        <v>0.38</v>
      </c>
      <c r="EM12" s="29">
        <v>1.77</v>
      </c>
      <c r="EN12" s="29">
        <v>1.08</v>
      </c>
      <c r="EO12" s="29">
        <v>1.66</v>
      </c>
      <c r="EP12" s="29">
        <v>1.79</v>
      </c>
      <c r="EQ12" s="29">
        <v>0.32</v>
      </c>
      <c r="ER12" s="29">
        <v>1.73</v>
      </c>
      <c r="ES12" s="29">
        <v>3.34</v>
      </c>
      <c r="ET12" s="29">
        <v>3.43</v>
      </c>
      <c r="EU12" s="29">
        <v>0.19</v>
      </c>
      <c r="EV12" s="29">
        <v>0.26</v>
      </c>
      <c r="EW12" s="29">
        <v>0.06</v>
      </c>
      <c r="EX12" s="29">
        <v>0.05</v>
      </c>
      <c r="EY12" s="29">
        <v>0.78</v>
      </c>
      <c r="EZ12" s="29">
        <v>1.53</v>
      </c>
      <c r="FA12" s="29">
        <v>1.49</v>
      </c>
      <c r="FB12" s="29">
        <v>2.2000000000000002</v>
      </c>
      <c r="FC12" s="29">
        <v>2.09</v>
      </c>
      <c r="FD12" s="29">
        <v>2.72</v>
      </c>
      <c r="FE12" s="29">
        <v>3.38</v>
      </c>
      <c r="FF12" s="29">
        <v>3.8</v>
      </c>
      <c r="FG12" s="29">
        <v>3.65</v>
      </c>
      <c r="FH12" s="29">
        <v>1.18</v>
      </c>
      <c r="FI12" s="29">
        <v>0.3</v>
      </c>
      <c r="FJ12" s="29">
        <v>0.06</v>
      </c>
      <c r="FK12" s="29">
        <v>0.4</v>
      </c>
      <c r="FL12" s="29">
        <v>1.53</v>
      </c>
      <c r="FM12" s="29">
        <v>1.55</v>
      </c>
      <c r="FN12" s="29">
        <v>1.81</v>
      </c>
      <c r="FO12" s="29">
        <v>1.31</v>
      </c>
      <c r="FP12" s="29">
        <v>2.5299999999999998</v>
      </c>
      <c r="FQ12" s="29">
        <v>3.31</v>
      </c>
      <c r="FR12" s="29">
        <v>3.62</v>
      </c>
      <c r="FS12" s="29">
        <v>1.06</v>
      </c>
      <c r="FT12" s="29">
        <v>0.57999999999999996</v>
      </c>
      <c r="FU12" s="29">
        <v>0.44</v>
      </c>
      <c r="FV12" s="29">
        <v>0.3</v>
      </c>
      <c r="FW12" s="29">
        <v>0.43</v>
      </c>
      <c r="FX12" s="29">
        <v>1.27</v>
      </c>
      <c r="FY12" s="29">
        <v>1.87</v>
      </c>
      <c r="FZ12" s="29">
        <v>1.75</v>
      </c>
      <c r="GA12" s="29">
        <v>2.2999999999999998</v>
      </c>
      <c r="GB12" s="29">
        <v>2.25</v>
      </c>
      <c r="GC12" s="29">
        <v>2.73</v>
      </c>
      <c r="GD12" s="29">
        <v>3.45</v>
      </c>
      <c r="GE12" s="29">
        <v>1.55</v>
      </c>
      <c r="GF12" s="29">
        <v>0.4</v>
      </c>
      <c r="GG12" s="29">
        <v>0.7</v>
      </c>
      <c r="GH12" s="29">
        <v>0.76</v>
      </c>
      <c r="GI12" s="29">
        <v>1.55</v>
      </c>
      <c r="GJ12" s="29">
        <v>1.85</v>
      </c>
      <c r="GK12" s="29">
        <v>2.4500000000000002</v>
      </c>
      <c r="GL12" s="29">
        <v>2.75</v>
      </c>
      <c r="GM12" s="29">
        <v>3.45</v>
      </c>
      <c r="GN12" s="29">
        <v>3.91</v>
      </c>
      <c r="GO12" s="29">
        <v>4.3499999999999996</v>
      </c>
      <c r="GP12" s="29">
        <v>4.75</v>
      </c>
      <c r="GQ12" s="29">
        <v>4.16</v>
      </c>
      <c r="GR12" s="29">
        <v>3.8</v>
      </c>
      <c r="GS12" s="29">
        <v>2.0499999999999998</v>
      </c>
      <c r="GT12" s="29">
        <v>1.25</v>
      </c>
      <c r="GU12" s="29">
        <v>1.3</v>
      </c>
      <c r="GV12" s="29">
        <v>2.63</v>
      </c>
      <c r="GW12" s="29">
        <v>3.1</v>
      </c>
      <c r="GX12" s="29">
        <v>2.92</v>
      </c>
      <c r="GY12" s="29">
        <v>3.52</v>
      </c>
      <c r="GZ12" s="29">
        <v>3.69</v>
      </c>
      <c r="HA12" s="29">
        <v>4.7300000000000004</v>
      </c>
      <c r="HB12" s="29">
        <v>5.07</v>
      </c>
      <c r="HC12" s="29">
        <v>4.47</v>
      </c>
      <c r="HD12" s="29">
        <v>1.81</v>
      </c>
      <c r="HE12" s="29">
        <v>0.97</v>
      </c>
      <c r="HF12" s="29">
        <v>0.17</v>
      </c>
      <c r="HG12" s="29">
        <v>0.42</v>
      </c>
      <c r="HH12" s="29">
        <v>1.45</v>
      </c>
      <c r="HI12" s="29">
        <v>2.5499999999999998</v>
      </c>
      <c r="HJ12" s="29">
        <v>2.8</v>
      </c>
      <c r="HK12" s="29">
        <v>2.58</v>
      </c>
      <c r="HL12" s="29">
        <v>3.3</v>
      </c>
      <c r="HM12" s="29">
        <v>4.18</v>
      </c>
      <c r="HN12" s="29">
        <v>5.07</v>
      </c>
      <c r="HO12" s="29">
        <v>5.17</v>
      </c>
      <c r="HP12" s="29">
        <v>4.97</v>
      </c>
      <c r="HQ12" s="29">
        <v>1.62</v>
      </c>
      <c r="HR12" s="29">
        <v>0.82</v>
      </c>
      <c r="HS12" s="29">
        <v>1.27</v>
      </c>
      <c r="HT12" s="29">
        <v>2.67</v>
      </c>
      <c r="HU12" s="29">
        <v>2.73</v>
      </c>
      <c r="HV12" s="29">
        <v>3.47</v>
      </c>
      <c r="HW12" s="29">
        <v>4.12</v>
      </c>
      <c r="HX12" s="29">
        <v>4.54</v>
      </c>
      <c r="HY12" s="29">
        <v>5.24</v>
      </c>
      <c r="HZ12" s="29">
        <v>5.7</v>
      </c>
      <c r="IA12" s="29">
        <v>5.76</v>
      </c>
      <c r="IB12" s="29">
        <v>6.15</v>
      </c>
      <c r="IC12" s="29">
        <v>6.2</v>
      </c>
      <c r="ID12" s="29">
        <v>6.48</v>
      </c>
      <c r="IE12" s="29">
        <v>6.84</v>
      </c>
      <c r="IF12" s="29">
        <v>7.51</v>
      </c>
      <c r="IG12" s="29">
        <v>7.96</v>
      </c>
      <c r="IH12" s="29">
        <v>8.01</v>
      </c>
      <c r="II12" s="29">
        <v>8.36</v>
      </c>
      <c r="IJ12" s="29">
        <v>8.32</v>
      </c>
      <c r="IK12" s="29">
        <v>8.81</v>
      </c>
      <c r="IL12" s="29">
        <v>8.56</v>
      </c>
      <c r="IM12" s="29">
        <v>8.65</v>
      </c>
      <c r="IN12" s="29">
        <v>6.95</v>
      </c>
      <c r="IO12" s="29">
        <v>6.51</v>
      </c>
      <c r="IP12" s="29">
        <v>6.01</v>
      </c>
      <c r="IQ12" s="29">
        <v>6.31</v>
      </c>
      <c r="IR12" s="29">
        <v>6.96</v>
      </c>
      <c r="IS12" s="29">
        <v>7.32</v>
      </c>
      <c r="IT12" s="29">
        <v>7.97</v>
      </c>
      <c r="IU12" s="29">
        <v>8.2200000000000006</v>
      </c>
      <c r="IV12" s="29">
        <v>7.15</v>
      </c>
      <c r="IW12" s="18">
        <v>8.81</v>
      </c>
      <c r="IX12" s="18">
        <v>8.36</v>
      </c>
      <c r="IY12" s="18">
        <v>7.95</v>
      </c>
      <c r="IZ12" s="19">
        <v>8.11</v>
      </c>
      <c r="JA12" s="20">
        <v>7.65</v>
      </c>
      <c r="JB12" s="20">
        <v>7.11</v>
      </c>
      <c r="JC12" s="20">
        <v>7.07</v>
      </c>
      <c r="JD12" s="20">
        <v>7.02</v>
      </c>
      <c r="JE12" s="20">
        <v>7.64</v>
      </c>
      <c r="JF12" s="21">
        <v>8.25</v>
      </c>
      <c r="JG12" s="22">
        <v>8.64</v>
      </c>
      <c r="JH12" s="22">
        <v>9.1</v>
      </c>
      <c r="JI12" s="20">
        <v>9.7100000000000009</v>
      </c>
      <c r="JJ12" s="23">
        <v>10.08</v>
      </c>
      <c r="JK12" s="24">
        <v>9.08</v>
      </c>
      <c r="JL12" s="24">
        <v>8.6300000000000008</v>
      </c>
      <c r="JM12" s="25">
        <v>8.39</v>
      </c>
      <c r="JN12" s="25">
        <v>8.18</v>
      </c>
      <c r="JO12" s="17">
        <v>8.26</v>
      </c>
      <c r="JP12" s="17">
        <v>8.1999999999999993</v>
      </c>
      <c r="JQ12" s="25">
        <v>8.16</v>
      </c>
      <c r="JR12" s="25">
        <v>8.75</v>
      </c>
      <c r="JS12" s="25">
        <v>8.99</v>
      </c>
      <c r="JT12" s="25">
        <v>9.4</v>
      </c>
      <c r="JU12" s="17">
        <v>11.01</v>
      </c>
      <c r="JV12" s="18">
        <v>10.72</v>
      </c>
      <c r="JW12" s="18">
        <v>11.04</v>
      </c>
      <c r="JX12" s="18">
        <v>9.86</v>
      </c>
      <c r="JY12" s="18">
        <v>8.69</v>
      </c>
      <c r="JZ12" s="18">
        <v>8.3000000000000007</v>
      </c>
      <c r="KA12" s="18">
        <v>5.69</v>
      </c>
      <c r="KB12" s="18">
        <v>6.15</v>
      </c>
      <c r="KC12" s="18">
        <v>6.29</v>
      </c>
      <c r="KD12" s="18">
        <v>8.3699999999999992</v>
      </c>
      <c r="KE12" s="18">
        <v>10.45</v>
      </c>
      <c r="KF12" s="18">
        <v>12.53</v>
      </c>
      <c r="KG12" s="26">
        <v>10.9</v>
      </c>
      <c r="KH12" s="26">
        <v>10.65</v>
      </c>
      <c r="KI12" s="26">
        <v>8.42</v>
      </c>
      <c r="KJ12" s="26">
        <v>8.16</v>
      </c>
      <c r="KK12" s="26">
        <v>8.83</v>
      </c>
      <c r="KL12" s="18">
        <v>6.7600000000000007</v>
      </c>
      <c r="KM12" s="26">
        <v>4.6400000000000006</v>
      </c>
      <c r="KN12" s="18">
        <v>5.78</v>
      </c>
      <c r="KO12" s="18">
        <v>6.5900000000000007</v>
      </c>
      <c r="KP12" s="18">
        <v>6.8500000000000005</v>
      </c>
      <c r="KQ12" s="18">
        <v>7.5</v>
      </c>
      <c r="KR12" s="18">
        <v>7.83</v>
      </c>
      <c r="KS12" s="18">
        <v>7.85</v>
      </c>
      <c r="KT12" s="18">
        <v>7.04</v>
      </c>
      <c r="KU12" s="26">
        <v>6.8800000000000008</v>
      </c>
      <c r="KV12" s="18">
        <v>6.1400000000000006</v>
      </c>
      <c r="KW12" s="17">
        <v>5.42</v>
      </c>
      <c r="KX12" s="17">
        <v>4.6300000000000008</v>
      </c>
      <c r="KY12" s="18">
        <v>4.8500000000000005</v>
      </c>
      <c r="KZ12" s="17">
        <v>5.08</v>
      </c>
      <c r="LA12" s="17">
        <v>5.8800000000000008</v>
      </c>
      <c r="LB12" s="17">
        <v>5.8500000000000005</v>
      </c>
      <c r="LC12" s="17">
        <v>6.21</v>
      </c>
      <c r="LD12" s="17">
        <v>8.09</v>
      </c>
      <c r="LE12" s="17">
        <v>7.48</v>
      </c>
      <c r="LF12" s="17">
        <v>8.06</v>
      </c>
      <c r="LG12" s="8">
        <v>6.96</v>
      </c>
      <c r="LH12" s="18">
        <v>7.0000000000000009</v>
      </c>
      <c r="LI12" s="18">
        <v>6.13</v>
      </c>
      <c r="LJ12" s="18">
        <v>4.47</v>
      </c>
      <c r="LK12" s="18">
        <v>4.08</v>
      </c>
      <c r="LL12" s="18">
        <v>5.53</v>
      </c>
      <c r="LM12" s="18">
        <v>6.25</v>
      </c>
      <c r="LN12" s="18">
        <v>6.4300000000000006</v>
      </c>
      <c r="LO12" s="18">
        <v>7.1000000000000005</v>
      </c>
      <c r="LP12" s="18">
        <v>6.97</v>
      </c>
      <c r="LQ12" s="18">
        <v>7.4200000000000008</v>
      </c>
      <c r="LR12" s="18">
        <v>8.1399999999999988</v>
      </c>
      <c r="LS12" s="18">
        <v>7.9799999999999995</v>
      </c>
      <c r="LT12" s="18">
        <v>7.9899999999999993</v>
      </c>
      <c r="LU12" s="18">
        <v>6.87</v>
      </c>
      <c r="LV12" s="17">
        <v>6.61</v>
      </c>
      <c r="LW12" s="17">
        <v>6.42</v>
      </c>
      <c r="LX12" s="17">
        <v>6.19</v>
      </c>
      <c r="LY12" s="17">
        <v>7.74</v>
      </c>
      <c r="LZ12" s="17">
        <v>7.6300000000000008</v>
      </c>
      <c r="MA12" s="17">
        <v>8.42</v>
      </c>
      <c r="MB12" s="17">
        <v>8.77</v>
      </c>
      <c r="MC12" s="17">
        <v>9</v>
      </c>
      <c r="MD12" s="17">
        <v>9.3800000000000008</v>
      </c>
      <c r="ME12" s="17">
        <v>10.07</v>
      </c>
      <c r="MF12" s="17">
        <v>9.27</v>
      </c>
      <c r="MG12" s="17">
        <v>8.67</v>
      </c>
      <c r="MH12" s="17">
        <v>6.2700000000000005</v>
      </c>
      <c r="MI12" s="17">
        <v>6.5500000000000007</v>
      </c>
      <c r="MJ12" s="17">
        <v>6.67</v>
      </c>
      <c r="MK12" s="17">
        <v>6.87</v>
      </c>
      <c r="ML12" s="17">
        <v>7.67</v>
      </c>
      <c r="MM12" s="27">
        <v>8.1999999999999993</v>
      </c>
      <c r="MN12" s="27">
        <f>VLOOKUP(B12,[1]Sheet1!$A:$N,7,0)</f>
        <v>8.7200000000000006</v>
      </c>
      <c r="MO12" s="27">
        <f>VLOOKUP(B12,[1]Sheet1!$A:$N,8,0)</f>
        <v>9.27</v>
      </c>
      <c r="MP12" s="27">
        <f>VLOOKUP(B12,[1]Sheet1!$A:$N,9,0)</f>
        <v>9.35</v>
      </c>
      <c r="MQ12" s="27">
        <f>VLOOKUP(B12,[1]Sheet1!$A:$N,10,0)</f>
        <v>9.2000000000000011</v>
      </c>
      <c r="MR12" s="27">
        <f>VLOOKUP(B12,[1]Sheet1!$A:$N,11,0)</f>
        <v>8.31</v>
      </c>
      <c r="MS12" s="27">
        <f>VLOOKUP(B12,[1]Sheet1!$A:$N,12,0)</f>
        <v>8.2200000000000006</v>
      </c>
      <c r="MT12" s="27">
        <f>VLOOKUP(B12,[1]Sheet1!$A:$N,13,0)</f>
        <v>8</v>
      </c>
      <c r="MU12" s="27">
        <f>VLOOKUP(B12,[1]Sheet1!$A:$N,14,0)</f>
        <v>5.54</v>
      </c>
    </row>
    <row r="13" spans="1:360" s="27" customFormat="1" ht="18.75" customHeight="1" x14ac:dyDescent="0.25">
      <c r="A13" s="8" t="s">
        <v>0</v>
      </c>
      <c r="B13" s="8">
        <v>10218</v>
      </c>
      <c r="C13" s="9" t="s">
        <v>20</v>
      </c>
      <c r="D13" s="10" t="s">
        <v>47</v>
      </c>
      <c r="E13" s="10" t="s">
        <v>48</v>
      </c>
      <c r="F13" s="11" t="s">
        <v>49</v>
      </c>
      <c r="G13" s="39" t="s">
        <v>1</v>
      </c>
      <c r="H13" s="41">
        <v>58.3</v>
      </c>
      <c r="I13" s="13" t="s">
        <v>2</v>
      </c>
      <c r="J13" s="28">
        <v>10.79</v>
      </c>
      <c r="K13" s="15">
        <v>16.381388999999999</v>
      </c>
      <c r="L13" s="15">
        <v>80.853133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8"/>
      <c r="Z13" s="29">
        <v>4</v>
      </c>
      <c r="AA13" s="29">
        <v>4.76</v>
      </c>
      <c r="AB13" s="29">
        <v>5</v>
      </c>
      <c r="AC13" s="29">
        <v>5.84</v>
      </c>
      <c r="AD13" s="29">
        <v>6.5810000000000004</v>
      </c>
      <c r="AE13" s="29">
        <v>6.3620000000000001</v>
      </c>
      <c r="AF13" s="29">
        <v>5.35</v>
      </c>
      <c r="AG13" s="29">
        <v>3.9350000000000001</v>
      </c>
      <c r="AH13" s="29">
        <v>1.9670000000000001</v>
      </c>
      <c r="AI13" s="29">
        <v>2.4700000000000002</v>
      </c>
      <c r="AJ13" s="29">
        <v>4.3550000000000004</v>
      </c>
      <c r="AK13" s="29">
        <v>2.5099999999999998</v>
      </c>
      <c r="AL13" s="29">
        <v>3</v>
      </c>
      <c r="AM13" s="29">
        <v>3.12</v>
      </c>
      <c r="AN13" s="29">
        <v>4.28</v>
      </c>
      <c r="AO13" s="29">
        <v>6.63</v>
      </c>
      <c r="AP13" s="29">
        <v>6.5039999999999996</v>
      </c>
      <c r="AQ13" s="29">
        <v>7.5289999999999999</v>
      </c>
      <c r="AR13" s="29">
        <v>6.9260000000000002</v>
      </c>
      <c r="AS13" s="29">
        <v>4.149</v>
      </c>
      <c r="AT13" s="29">
        <v>3.6539999999999999</v>
      </c>
      <c r="AU13" s="29">
        <v>3.78</v>
      </c>
      <c r="AV13" s="29">
        <v>5.6029999999999998</v>
      </c>
      <c r="AW13" s="29">
        <v>4.415</v>
      </c>
      <c r="AX13" s="29">
        <v>4.49</v>
      </c>
      <c r="AY13" s="29">
        <v>5</v>
      </c>
      <c r="AZ13" s="29">
        <v>5.19</v>
      </c>
      <c r="BA13" s="29">
        <v>6.7850000000000001</v>
      </c>
      <c r="BB13" s="29">
        <v>6.66</v>
      </c>
      <c r="BC13" s="29">
        <v>5.63</v>
      </c>
      <c r="BD13" s="29">
        <v>2.78</v>
      </c>
      <c r="BE13" s="29">
        <v>4.6500000000000004</v>
      </c>
      <c r="BF13" s="29">
        <v>4.3120000000000003</v>
      </c>
      <c r="BG13" s="29">
        <v>4.53</v>
      </c>
      <c r="BH13" s="29">
        <v>5.09</v>
      </c>
      <c r="BI13" s="29">
        <v>6.15</v>
      </c>
      <c r="BJ13" s="29">
        <v>5.5</v>
      </c>
      <c r="BK13" s="29">
        <v>5.66</v>
      </c>
      <c r="BL13" s="29">
        <v>4.62</v>
      </c>
      <c r="BM13" s="29">
        <v>6.85</v>
      </c>
      <c r="BN13" s="29">
        <v>6.93</v>
      </c>
      <c r="BO13" s="29">
        <v>7.81</v>
      </c>
      <c r="BP13" s="29">
        <v>4.9400000000000004</v>
      </c>
      <c r="BQ13" s="29">
        <v>4.63</v>
      </c>
      <c r="BR13" s="29">
        <v>3.13</v>
      </c>
      <c r="BS13" s="29">
        <v>3.34</v>
      </c>
      <c r="BT13" s="29">
        <v>4.29</v>
      </c>
      <c r="BU13" s="29">
        <v>4.6500000000000004</v>
      </c>
      <c r="BV13" s="29">
        <v>5.03</v>
      </c>
      <c r="BW13" s="29">
        <v>4.8099999999999996</v>
      </c>
      <c r="BX13" s="29">
        <v>5.86</v>
      </c>
      <c r="BY13" s="29">
        <v>7.59</v>
      </c>
      <c r="BZ13" s="29">
        <v>6.73</v>
      </c>
      <c r="CA13" s="29">
        <v>8.02</v>
      </c>
      <c r="CB13" s="29">
        <v>7.28</v>
      </c>
      <c r="CC13" s="29">
        <v>7</v>
      </c>
      <c r="CD13" s="29">
        <v>4.99</v>
      </c>
      <c r="CE13" s="29">
        <v>5</v>
      </c>
      <c r="CF13" s="29">
        <v>5.28</v>
      </c>
      <c r="CG13" s="29">
        <v>6.74</v>
      </c>
      <c r="CH13" s="29">
        <v>7.55</v>
      </c>
      <c r="CI13" s="29">
        <v>7.12</v>
      </c>
      <c r="CJ13" s="29">
        <v>8.74</v>
      </c>
      <c r="CK13" s="29">
        <v>9.15</v>
      </c>
      <c r="CL13" s="29">
        <v>9.18</v>
      </c>
      <c r="CM13" s="29">
        <v>7.88</v>
      </c>
      <c r="CN13" s="29">
        <v>8.2100000000000009</v>
      </c>
      <c r="CO13" s="29">
        <v>10</v>
      </c>
      <c r="CP13" s="29">
        <v>7.33</v>
      </c>
      <c r="CQ13" s="29">
        <v>6.77</v>
      </c>
      <c r="CR13" s="29">
        <v>5.46</v>
      </c>
      <c r="CS13" s="29">
        <v>5.78</v>
      </c>
      <c r="CT13" s="29">
        <v>8.2899999999999991</v>
      </c>
      <c r="CU13" s="29">
        <v>9.58</v>
      </c>
      <c r="CV13" s="29">
        <v>10.14</v>
      </c>
      <c r="CW13" s="29">
        <v>8.59</v>
      </c>
      <c r="CX13" s="29">
        <v>8.02</v>
      </c>
      <c r="CY13" s="29">
        <v>9.4700000000000006</v>
      </c>
      <c r="CZ13" s="29">
        <v>10.220000000000001</v>
      </c>
      <c r="DA13" s="29">
        <v>7.82</v>
      </c>
      <c r="DB13" s="29">
        <v>6.86</v>
      </c>
      <c r="DC13" s="29">
        <v>6.13</v>
      </c>
      <c r="DD13" s="29">
        <v>5.55</v>
      </c>
      <c r="DE13" s="29">
        <v>6.39</v>
      </c>
      <c r="DF13" s="29">
        <v>7.41</v>
      </c>
      <c r="DG13" s="29">
        <v>7.53</v>
      </c>
      <c r="DH13" s="29">
        <v>8.89</v>
      </c>
      <c r="DI13" s="29">
        <v>10.65</v>
      </c>
      <c r="DJ13" s="29">
        <v>11.08</v>
      </c>
      <c r="DK13" s="29">
        <v>9.1</v>
      </c>
      <c r="DL13" s="29">
        <v>7.68</v>
      </c>
      <c r="DM13" s="29">
        <v>4.18</v>
      </c>
      <c r="DN13" s="29">
        <v>3.56</v>
      </c>
      <c r="DO13" s="29">
        <v>3.86</v>
      </c>
      <c r="DP13" s="29">
        <v>4.68</v>
      </c>
      <c r="DQ13" s="29">
        <v>6.24</v>
      </c>
      <c r="DR13" s="29">
        <v>5.67</v>
      </c>
      <c r="DS13" s="29">
        <v>5.16</v>
      </c>
      <c r="DT13" s="29">
        <v>4.93</v>
      </c>
      <c r="DU13" s="29">
        <v>7.79</v>
      </c>
      <c r="DV13" s="29">
        <v>7.35</v>
      </c>
      <c r="DW13" s="29">
        <v>9.93</v>
      </c>
      <c r="DX13" s="29">
        <v>6.44</v>
      </c>
      <c r="DY13" s="29">
        <v>3.67</v>
      </c>
      <c r="DZ13" s="29">
        <v>5.25</v>
      </c>
      <c r="EA13" s="29">
        <v>3.22</v>
      </c>
      <c r="EB13" s="29">
        <v>4.5999999999999996</v>
      </c>
      <c r="EC13" s="29">
        <v>4.88</v>
      </c>
      <c r="ED13" s="29">
        <v>4.83</v>
      </c>
      <c r="EE13" s="29">
        <v>5</v>
      </c>
      <c r="EF13" s="29">
        <v>6.73</v>
      </c>
      <c r="EG13" s="29">
        <v>6.9</v>
      </c>
      <c r="EH13" s="29">
        <v>7.75</v>
      </c>
      <c r="EI13" s="29">
        <v>7.97</v>
      </c>
      <c r="EJ13" s="29">
        <v>5.38</v>
      </c>
      <c r="EK13" s="29">
        <v>4.13</v>
      </c>
      <c r="EL13" s="29">
        <v>5.13</v>
      </c>
      <c r="EM13" s="29">
        <v>3.87</v>
      </c>
      <c r="EN13" s="29">
        <v>4.59</v>
      </c>
      <c r="EO13" s="29">
        <v>4.87</v>
      </c>
      <c r="EP13" s="29">
        <v>4.3</v>
      </c>
      <c r="EQ13" s="29">
        <v>5.23</v>
      </c>
      <c r="ER13" s="29">
        <v>4.93</v>
      </c>
      <c r="ES13" s="29">
        <v>6.73</v>
      </c>
      <c r="ET13" s="29">
        <v>8.1300000000000008</v>
      </c>
      <c r="EU13" s="29">
        <v>6.74</v>
      </c>
      <c r="EV13" s="29">
        <v>6.17</v>
      </c>
      <c r="EW13" s="29">
        <v>5.3</v>
      </c>
      <c r="EX13" s="29">
        <v>6.35</v>
      </c>
      <c r="EY13" s="29">
        <v>3.79</v>
      </c>
      <c r="EZ13" s="29">
        <v>4.87</v>
      </c>
      <c r="FA13" s="29">
        <v>8.0299999999999994</v>
      </c>
      <c r="FB13" s="29">
        <v>7.5</v>
      </c>
      <c r="FC13" s="29">
        <v>7.56</v>
      </c>
      <c r="FD13" s="29">
        <v>6.63</v>
      </c>
      <c r="FE13" s="29">
        <v>6.35</v>
      </c>
      <c r="FF13" s="29">
        <v>9.35</v>
      </c>
      <c r="FG13" s="29">
        <v>10.9</v>
      </c>
      <c r="FH13" s="29">
        <v>8.4499999999999993</v>
      </c>
      <c r="FI13" s="29">
        <v>7.93</v>
      </c>
      <c r="FJ13" s="29">
        <v>5.91</v>
      </c>
      <c r="FK13" s="29">
        <v>4.7300000000000004</v>
      </c>
      <c r="FL13" s="29">
        <v>4.32</v>
      </c>
      <c r="FM13" s="29">
        <v>5.31</v>
      </c>
      <c r="FN13" s="29">
        <v>6.02</v>
      </c>
      <c r="FO13" s="29">
        <v>7.42</v>
      </c>
      <c r="FP13" s="29">
        <v>7.34</v>
      </c>
      <c r="FQ13" s="29">
        <v>8.6300000000000008</v>
      </c>
      <c r="FR13" s="29">
        <v>6.4</v>
      </c>
      <c r="FS13" s="29">
        <v>7.61</v>
      </c>
      <c r="FT13" s="29">
        <v>5</v>
      </c>
      <c r="FU13" s="29">
        <v>4.3600000000000003</v>
      </c>
      <c r="FV13" s="29">
        <v>4.1100000000000003</v>
      </c>
      <c r="FW13" s="29">
        <v>3.29</v>
      </c>
      <c r="FX13" s="29">
        <v>3.52</v>
      </c>
      <c r="FY13" s="29">
        <v>5.69</v>
      </c>
      <c r="FZ13" s="29">
        <v>5.39</v>
      </c>
      <c r="GA13" s="29">
        <v>6.95</v>
      </c>
      <c r="GB13" s="29">
        <v>5.77</v>
      </c>
      <c r="GC13" s="29">
        <v>7.47</v>
      </c>
      <c r="GD13" s="29">
        <v>8.6</v>
      </c>
      <c r="GE13" s="29">
        <v>8.77</v>
      </c>
      <c r="GF13" s="29">
        <v>6.2</v>
      </c>
      <c r="GG13" s="29">
        <v>7.05</v>
      </c>
      <c r="GH13" s="29">
        <v>8.25</v>
      </c>
      <c r="GI13" s="29">
        <v>4.6399999999999997</v>
      </c>
      <c r="GJ13" s="29">
        <v>6.38</v>
      </c>
      <c r="GK13" s="29">
        <v>5.35</v>
      </c>
      <c r="GL13" s="29">
        <v>7.01</v>
      </c>
      <c r="GM13" s="29">
        <v>7.04</v>
      </c>
      <c r="GN13" s="29">
        <v>8.23</v>
      </c>
      <c r="GO13" s="29">
        <v>7.9</v>
      </c>
      <c r="GP13" s="29">
        <v>7.75</v>
      </c>
      <c r="GQ13" s="29">
        <v>9.5299999999999994</v>
      </c>
      <c r="GR13" s="29">
        <v>8.4</v>
      </c>
      <c r="GS13" s="29">
        <v>8.07</v>
      </c>
      <c r="GT13" s="29">
        <v>8.07</v>
      </c>
      <c r="GU13" s="29">
        <v>5.75</v>
      </c>
      <c r="GV13" s="29">
        <v>6.1</v>
      </c>
      <c r="GW13" s="29">
        <v>7.15</v>
      </c>
      <c r="GX13" s="29">
        <v>6.3</v>
      </c>
      <c r="GY13" s="29">
        <v>8.42</v>
      </c>
      <c r="GZ13" s="29">
        <v>7.58</v>
      </c>
      <c r="HA13" s="29">
        <v>8.92</v>
      </c>
      <c r="HB13" s="29">
        <v>9.77</v>
      </c>
      <c r="HC13" s="29">
        <v>10.52</v>
      </c>
      <c r="HD13" s="29">
        <v>9.6999999999999993</v>
      </c>
      <c r="HE13" s="29">
        <v>6.87</v>
      </c>
      <c r="HF13" s="29">
        <v>6.92</v>
      </c>
      <c r="HG13" s="29">
        <v>5.89</v>
      </c>
      <c r="HH13" s="29">
        <v>6.06</v>
      </c>
      <c r="HI13" s="29">
        <v>7.07</v>
      </c>
      <c r="HJ13" s="29">
        <v>8.4700000000000006</v>
      </c>
      <c r="HK13" s="29">
        <v>9.1199999999999992</v>
      </c>
      <c r="HL13" s="29">
        <v>8.5500000000000007</v>
      </c>
      <c r="HM13" s="29">
        <v>8.42</v>
      </c>
      <c r="HN13" s="29">
        <v>10.07</v>
      </c>
      <c r="HO13" s="29">
        <v>13.82</v>
      </c>
      <c r="HP13" s="29">
        <v>12.12</v>
      </c>
      <c r="HQ13" s="29">
        <v>10.36</v>
      </c>
      <c r="HR13" s="29">
        <v>7.72</v>
      </c>
      <c r="HS13" s="29">
        <v>8.0500000000000007</v>
      </c>
      <c r="HT13" s="29">
        <v>6.22</v>
      </c>
      <c r="HU13" s="29">
        <v>8.94</v>
      </c>
      <c r="HV13" s="29">
        <v>9.11</v>
      </c>
      <c r="HW13" s="29">
        <v>9.25</v>
      </c>
      <c r="HX13" s="29">
        <v>9.31</v>
      </c>
      <c r="HY13" s="29">
        <v>10.039999999999999</v>
      </c>
      <c r="HZ13" s="29">
        <v>7.99</v>
      </c>
      <c r="IA13" s="29">
        <v>13.48</v>
      </c>
      <c r="IB13" s="29">
        <v>11.79</v>
      </c>
      <c r="IC13" s="29">
        <v>10.26</v>
      </c>
      <c r="ID13" s="29">
        <v>14.4</v>
      </c>
      <c r="IE13" s="29">
        <v>11.27</v>
      </c>
      <c r="IF13" s="29">
        <v>11.63</v>
      </c>
      <c r="IG13" s="29">
        <v>10.8</v>
      </c>
      <c r="IH13" s="29">
        <v>10.99</v>
      </c>
      <c r="II13" s="29">
        <v>12.06</v>
      </c>
      <c r="IJ13" s="29">
        <v>12.77</v>
      </c>
      <c r="IK13" s="29">
        <v>11.39</v>
      </c>
      <c r="IL13" s="29">
        <v>10.66</v>
      </c>
      <c r="IM13" s="29">
        <v>16.170000000000002</v>
      </c>
      <c r="IN13" s="29">
        <v>13.77</v>
      </c>
      <c r="IO13" s="29">
        <v>11.87</v>
      </c>
      <c r="IP13" s="29">
        <v>14.12</v>
      </c>
      <c r="IQ13" s="29">
        <v>12.56</v>
      </c>
      <c r="IR13" s="29">
        <v>9.73</v>
      </c>
      <c r="IS13" s="29">
        <v>10.18</v>
      </c>
      <c r="IT13" s="29">
        <v>10.5</v>
      </c>
      <c r="IU13" s="29">
        <v>10.51</v>
      </c>
      <c r="IV13" s="29">
        <v>11.73</v>
      </c>
      <c r="IW13" s="18">
        <v>14.08</v>
      </c>
      <c r="IX13" s="18">
        <v>10.93</v>
      </c>
      <c r="IY13" s="18">
        <v>15.34</v>
      </c>
      <c r="IZ13" s="19">
        <v>13.92</v>
      </c>
      <c r="JA13" s="20">
        <v>13.78</v>
      </c>
      <c r="JB13" s="20">
        <v>12.87</v>
      </c>
      <c r="JC13" s="20">
        <v>10.39</v>
      </c>
      <c r="JD13" s="20">
        <v>11.29</v>
      </c>
      <c r="JE13" s="20">
        <v>12.68</v>
      </c>
      <c r="JF13" s="21">
        <v>12.8</v>
      </c>
      <c r="JG13" s="22">
        <v>13.46</v>
      </c>
      <c r="JH13" s="22">
        <v>12.96</v>
      </c>
      <c r="JI13" s="20">
        <v>13.7</v>
      </c>
      <c r="JJ13" s="23">
        <v>14.49</v>
      </c>
      <c r="JK13" s="24">
        <v>14.45</v>
      </c>
      <c r="JL13" s="24">
        <v>13.97</v>
      </c>
      <c r="JM13" s="25">
        <v>13.53</v>
      </c>
      <c r="JN13" s="25">
        <v>14.52</v>
      </c>
      <c r="JO13" s="17">
        <v>14.15</v>
      </c>
      <c r="JP13" s="17">
        <v>11.37</v>
      </c>
      <c r="JQ13" s="25">
        <v>13.67</v>
      </c>
      <c r="JR13" s="25">
        <v>14.58</v>
      </c>
      <c r="JS13" s="25">
        <v>15.24</v>
      </c>
      <c r="JT13" s="25">
        <v>11.35</v>
      </c>
      <c r="JU13" s="17">
        <v>14</v>
      </c>
      <c r="JV13" s="8">
        <v>15.4</v>
      </c>
      <c r="JW13" s="8">
        <v>17.36</v>
      </c>
      <c r="JX13" s="8">
        <v>15.54</v>
      </c>
      <c r="JY13" s="8">
        <v>11.57</v>
      </c>
      <c r="JZ13" s="8">
        <v>12.49</v>
      </c>
      <c r="KA13" s="8">
        <v>11.57</v>
      </c>
      <c r="KB13" s="8">
        <v>12.25</v>
      </c>
      <c r="KC13" s="26">
        <v>13.69</v>
      </c>
      <c r="KD13" s="26">
        <v>14.13</v>
      </c>
      <c r="KE13" s="26">
        <v>14.57</v>
      </c>
      <c r="KF13" s="26">
        <v>15.01</v>
      </c>
      <c r="KG13" s="26">
        <v>13.31</v>
      </c>
      <c r="KH13" s="26">
        <v>13.53</v>
      </c>
      <c r="KI13" s="26">
        <v>14.22</v>
      </c>
      <c r="KJ13" s="26">
        <v>13.93</v>
      </c>
      <c r="KK13" s="26">
        <v>12.75</v>
      </c>
      <c r="KL13" s="8">
        <v>9.92</v>
      </c>
      <c r="KM13" s="26">
        <v>10.930000000000001</v>
      </c>
      <c r="KN13" s="18">
        <v>10.73</v>
      </c>
      <c r="KO13" s="18">
        <v>13.23</v>
      </c>
      <c r="KP13" s="18">
        <v>12.760000000000002</v>
      </c>
      <c r="KQ13" s="18">
        <v>14.450000000000001</v>
      </c>
      <c r="KR13" s="18">
        <v>12.96</v>
      </c>
      <c r="KS13" s="18">
        <v>11.21</v>
      </c>
      <c r="KT13" s="18">
        <v>12.71</v>
      </c>
      <c r="KU13" s="26">
        <v>16.420000000000002</v>
      </c>
      <c r="KV13" s="18">
        <v>14.15</v>
      </c>
      <c r="KW13" s="17">
        <v>15.020000000000001</v>
      </c>
      <c r="KX13" s="17">
        <v>14.540000000000001</v>
      </c>
      <c r="KY13" s="18">
        <v>9.49</v>
      </c>
      <c r="KZ13" s="17">
        <v>10.75</v>
      </c>
      <c r="LA13" s="17">
        <v>9.83</v>
      </c>
      <c r="LB13" s="17">
        <v>10.450000000000001</v>
      </c>
      <c r="LC13" s="17">
        <v>10.950000000000001</v>
      </c>
      <c r="LD13" s="17">
        <v>11.88</v>
      </c>
      <c r="LE13" s="17">
        <v>11.08</v>
      </c>
      <c r="LF13" s="17">
        <v>12.89</v>
      </c>
      <c r="LG13" s="8">
        <v>12.19</v>
      </c>
      <c r="LH13" s="18">
        <v>15.64</v>
      </c>
      <c r="LI13" s="18">
        <v>14.430000000000001</v>
      </c>
      <c r="LJ13" s="18">
        <v>12.42</v>
      </c>
      <c r="LK13" s="18">
        <v>11.57</v>
      </c>
      <c r="LL13" s="18">
        <v>9.6000000000000014</v>
      </c>
      <c r="LM13" s="18">
        <v>10.34</v>
      </c>
      <c r="LN13" s="18">
        <v>10.67</v>
      </c>
      <c r="LO13" s="18">
        <v>10.020000000000001</v>
      </c>
      <c r="LP13" s="18">
        <v>11.530000000000001</v>
      </c>
      <c r="LQ13" s="18">
        <v>10.59</v>
      </c>
      <c r="LR13" s="18">
        <v>12.64</v>
      </c>
      <c r="LS13" s="18">
        <v>12.280000000000001</v>
      </c>
      <c r="LT13" s="18">
        <v>14.5</v>
      </c>
      <c r="LU13" s="18">
        <v>14.41</v>
      </c>
      <c r="LV13" s="17">
        <v>16.79</v>
      </c>
      <c r="LW13" s="17">
        <v>12.969999999999999</v>
      </c>
      <c r="LX13" s="17">
        <v>10.33</v>
      </c>
      <c r="LY13" s="17">
        <v>12</v>
      </c>
      <c r="LZ13" s="17">
        <v>11.64</v>
      </c>
      <c r="MA13" s="17">
        <v>11.46</v>
      </c>
      <c r="MB13" s="17">
        <v>12.67</v>
      </c>
      <c r="MC13" s="17">
        <v>11.04</v>
      </c>
      <c r="MD13" s="17">
        <v>14.74</v>
      </c>
      <c r="ME13" s="17">
        <v>15.01</v>
      </c>
      <c r="MF13" s="17">
        <v>17.739999999999998</v>
      </c>
      <c r="MG13" s="17">
        <v>14.81</v>
      </c>
      <c r="MH13" s="17">
        <v>12.36</v>
      </c>
      <c r="MI13" s="17">
        <v>12.86</v>
      </c>
      <c r="MJ13" s="17">
        <v>10.83</v>
      </c>
      <c r="MK13" s="17">
        <v>11.54</v>
      </c>
      <c r="ML13" s="17">
        <v>11.54</v>
      </c>
      <c r="MM13" s="27">
        <v>12.34</v>
      </c>
      <c r="MN13" s="27">
        <f>VLOOKUP(B13,[1]Sheet1!$A:$N,7,0)</f>
        <v>12.46</v>
      </c>
      <c r="MO13" s="27">
        <f>VLOOKUP(B13,[1]Sheet1!$A:$N,8,0)</f>
        <v>17.739999999999998</v>
      </c>
      <c r="MP13" s="27">
        <f>VLOOKUP(B13,[1]Sheet1!$A:$N,9,0)</f>
        <v>15.65</v>
      </c>
      <c r="MQ13" s="27">
        <f>VLOOKUP(B13,[1]Sheet1!$A:$N,10,0)</f>
        <v>15.06</v>
      </c>
      <c r="MR13" s="27">
        <f>VLOOKUP(B13,[1]Sheet1!$A:$N,11,0)</f>
        <v>14.6</v>
      </c>
      <c r="MS13" s="27">
        <f>VLOOKUP(B13,[1]Sheet1!$A:$N,12,0)</f>
        <v>12.65</v>
      </c>
      <c r="MT13" s="27">
        <f>VLOOKUP(B13,[1]Sheet1!$A:$N,13,0)</f>
        <v>14.66</v>
      </c>
      <c r="MU13" s="27">
        <f>VLOOKUP(B13,[1]Sheet1!$A:$N,14,0)</f>
        <v>10.74</v>
      </c>
    </row>
    <row r="14" spans="1:360" s="27" customFormat="1" ht="18.75" customHeight="1" x14ac:dyDescent="0.25">
      <c r="A14" s="8" t="s">
        <v>0</v>
      </c>
      <c r="B14" s="8">
        <v>10219</v>
      </c>
      <c r="C14" s="9" t="s">
        <v>20</v>
      </c>
      <c r="D14" s="10" t="s">
        <v>47</v>
      </c>
      <c r="E14" s="10" t="s">
        <v>50</v>
      </c>
      <c r="F14" s="11" t="s">
        <v>49</v>
      </c>
      <c r="G14" s="39" t="s">
        <v>1</v>
      </c>
      <c r="H14" s="41">
        <v>131.30000000000001</v>
      </c>
      <c r="I14" s="13" t="s">
        <v>2</v>
      </c>
      <c r="J14" s="28">
        <v>10.9</v>
      </c>
      <c r="K14" s="15">
        <v>16.381359</v>
      </c>
      <c r="L14" s="15">
        <v>80.853252999999995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29">
        <v>3.99</v>
      </c>
      <c r="Z14" s="29">
        <v>4.17</v>
      </c>
      <c r="AA14" s="29">
        <v>4.6900000000000004</v>
      </c>
      <c r="AB14" s="29">
        <v>5.69</v>
      </c>
      <c r="AC14" s="29">
        <v>6.67</v>
      </c>
      <c r="AD14" s="29">
        <v>6.5</v>
      </c>
      <c r="AE14" s="29">
        <v>6.49</v>
      </c>
      <c r="AF14" s="29">
        <v>4.2699999999999996</v>
      </c>
      <c r="AG14" s="29">
        <v>3.69</v>
      </c>
      <c r="AH14" s="29">
        <v>2.0979999999999999</v>
      </c>
      <c r="AI14" s="29">
        <v>1.952</v>
      </c>
      <c r="AJ14" s="29">
        <v>4.569</v>
      </c>
      <c r="AK14" s="29">
        <v>2.02</v>
      </c>
      <c r="AL14" s="29">
        <v>3.14</v>
      </c>
      <c r="AM14" s="29">
        <v>4.17</v>
      </c>
      <c r="AN14" s="29">
        <v>5.19</v>
      </c>
      <c r="AO14" s="29">
        <v>6.67</v>
      </c>
      <c r="AP14" s="29">
        <v>6</v>
      </c>
      <c r="AQ14" s="29">
        <v>5.15</v>
      </c>
      <c r="AR14" s="29">
        <v>4.6680000000000001</v>
      </c>
      <c r="AS14" s="29">
        <v>4.024</v>
      </c>
      <c r="AT14" s="29">
        <v>3.6259999999999999</v>
      </c>
      <c r="AU14" s="29">
        <v>3.83</v>
      </c>
      <c r="AV14" s="29">
        <v>4.7510000000000003</v>
      </c>
      <c r="AW14" s="29">
        <v>5.7</v>
      </c>
      <c r="AX14" s="29">
        <v>5.69</v>
      </c>
      <c r="AY14" s="29">
        <v>5.6</v>
      </c>
      <c r="AZ14" s="29">
        <v>5.52</v>
      </c>
      <c r="BA14" s="29">
        <v>5.79</v>
      </c>
      <c r="BB14" s="29">
        <v>6.11</v>
      </c>
      <c r="BC14" s="29">
        <v>5.43</v>
      </c>
      <c r="BD14" s="29">
        <v>2.83</v>
      </c>
      <c r="BE14" s="29">
        <v>4.63</v>
      </c>
      <c r="BF14" s="29">
        <v>4.01</v>
      </c>
      <c r="BG14" s="29">
        <v>3.92</v>
      </c>
      <c r="BH14" s="29">
        <v>3.67</v>
      </c>
      <c r="BI14" s="29">
        <v>5.43</v>
      </c>
      <c r="BJ14" s="29">
        <v>5.62</v>
      </c>
      <c r="BK14" s="29">
        <v>5.48</v>
      </c>
      <c r="BL14" s="29">
        <v>4.9770000000000003</v>
      </c>
      <c r="BM14" s="29">
        <v>6.77</v>
      </c>
      <c r="BN14" s="29">
        <v>6.91</v>
      </c>
      <c r="BO14" s="29">
        <v>7.58</v>
      </c>
      <c r="BP14" s="29">
        <v>4.79</v>
      </c>
      <c r="BQ14" s="29">
        <v>4.46</v>
      </c>
      <c r="BR14" s="29">
        <v>3.13</v>
      </c>
      <c r="BS14" s="29">
        <v>3.36</v>
      </c>
      <c r="BT14" s="29">
        <v>4.3099999999999996</v>
      </c>
      <c r="BU14" s="29">
        <v>4.63</v>
      </c>
      <c r="BV14" s="29">
        <v>5.09</v>
      </c>
      <c r="BW14" s="29">
        <v>5.21</v>
      </c>
      <c r="BX14" s="29">
        <v>5.66</v>
      </c>
      <c r="BY14" s="29">
        <v>7.3</v>
      </c>
      <c r="BZ14" s="29">
        <v>6.6</v>
      </c>
      <c r="CA14" s="29">
        <v>7.98</v>
      </c>
      <c r="CB14" s="29">
        <v>6.42</v>
      </c>
      <c r="CC14" s="29">
        <v>6.8</v>
      </c>
      <c r="CD14" s="29">
        <v>4.8899999999999997</v>
      </c>
      <c r="CE14" s="29">
        <v>5.03</v>
      </c>
      <c r="CF14" s="29">
        <v>5.34</v>
      </c>
      <c r="CG14" s="29">
        <v>6.8</v>
      </c>
      <c r="CH14" s="29">
        <v>7.75</v>
      </c>
      <c r="CI14" s="29">
        <v>7.82</v>
      </c>
      <c r="CJ14" s="29">
        <v>8.8800000000000008</v>
      </c>
      <c r="CK14" s="29">
        <v>8.98</v>
      </c>
      <c r="CL14" s="29">
        <v>8.9600000000000009</v>
      </c>
      <c r="CM14" s="29">
        <v>8.0299999999999994</v>
      </c>
      <c r="CN14" s="29">
        <v>8.41</v>
      </c>
      <c r="CO14" s="29">
        <v>9.84</v>
      </c>
      <c r="CP14" s="29">
        <v>7.69</v>
      </c>
      <c r="CQ14" s="29">
        <v>7.17</v>
      </c>
      <c r="CR14" s="29">
        <v>5.43</v>
      </c>
      <c r="CS14" s="29">
        <v>5.6</v>
      </c>
      <c r="CT14" s="29">
        <v>8.0399999999999991</v>
      </c>
      <c r="CU14" s="29">
        <v>9.14</v>
      </c>
      <c r="CV14" s="29">
        <v>9.83</v>
      </c>
      <c r="CW14" s="29">
        <v>8.67</v>
      </c>
      <c r="CX14" s="29">
        <v>7.88</v>
      </c>
      <c r="CY14" s="29">
        <v>9.39</v>
      </c>
      <c r="CZ14" s="29">
        <v>9.81</v>
      </c>
      <c r="DA14" s="29">
        <v>7.91</v>
      </c>
      <c r="DB14" s="29">
        <v>6.8</v>
      </c>
      <c r="DC14" s="29">
        <v>6.19</v>
      </c>
      <c r="DD14" s="29">
        <v>5.62</v>
      </c>
      <c r="DE14" s="29">
        <v>6.47</v>
      </c>
      <c r="DF14" s="29">
        <v>8.01</v>
      </c>
      <c r="DG14" s="29">
        <v>8.27</v>
      </c>
      <c r="DH14" s="29">
        <v>9.1999999999999993</v>
      </c>
      <c r="DI14" s="29">
        <v>10.54</v>
      </c>
      <c r="DJ14" s="29">
        <v>10.44</v>
      </c>
      <c r="DK14" s="29">
        <v>10.18</v>
      </c>
      <c r="DL14" s="29">
        <v>7.83</v>
      </c>
      <c r="DM14" s="29">
        <v>4.5599999999999996</v>
      </c>
      <c r="DN14" s="29">
        <v>3.7</v>
      </c>
      <c r="DO14" s="29">
        <v>4.05</v>
      </c>
      <c r="DP14" s="29">
        <v>6</v>
      </c>
      <c r="DQ14" s="29">
        <v>5.98</v>
      </c>
      <c r="DR14" s="29">
        <v>6.89</v>
      </c>
      <c r="DS14" s="29">
        <v>5.34</v>
      </c>
      <c r="DT14" s="29">
        <v>5.28</v>
      </c>
      <c r="DU14" s="29">
        <v>7.87</v>
      </c>
      <c r="DV14" s="29">
        <v>7.5</v>
      </c>
      <c r="DW14" s="29">
        <v>9.56</v>
      </c>
      <c r="DX14" s="29">
        <v>6.56</v>
      </c>
      <c r="DY14" s="29">
        <v>6</v>
      </c>
      <c r="DZ14" s="29">
        <v>5.1100000000000003</v>
      </c>
      <c r="EA14" s="29">
        <v>3.5</v>
      </c>
      <c r="EB14" s="29">
        <v>4.49</v>
      </c>
      <c r="EC14" s="29">
        <v>5.05</v>
      </c>
      <c r="ED14" s="29">
        <v>5.05</v>
      </c>
      <c r="EE14" s="29">
        <v>6</v>
      </c>
      <c r="EF14" s="29">
        <v>6.59</v>
      </c>
      <c r="EG14" s="29">
        <v>7.04</v>
      </c>
      <c r="EH14" s="29">
        <v>7.9</v>
      </c>
      <c r="EI14" s="29">
        <v>6.36</v>
      </c>
      <c r="EJ14" s="29">
        <v>5.51</v>
      </c>
      <c r="EK14" s="29">
        <v>4.05</v>
      </c>
      <c r="EL14" s="29">
        <v>5.25</v>
      </c>
      <c r="EM14" s="29">
        <v>4.1100000000000003</v>
      </c>
      <c r="EN14" s="29">
        <v>4.8</v>
      </c>
      <c r="EO14" s="29">
        <v>5.17</v>
      </c>
      <c r="EP14" s="29">
        <v>4.5599999999999996</v>
      </c>
      <c r="EQ14" s="29">
        <v>5.23</v>
      </c>
      <c r="ER14" s="29">
        <v>4.16</v>
      </c>
      <c r="ES14" s="29">
        <v>6.8</v>
      </c>
      <c r="ET14" s="29">
        <v>7.81</v>
      </c>
      <c r="EU14" s="29">
        <v>6.92</v>
      </c>
      <c r="EV14" s="29">
        <v>6.26</v>
      </c>
      <c r="EW14" s="29">
        <v>5.22</v>
      </c>
      <c r="EX14" s="29">
        <v>5.8</v>
      </c>
      <c r="EY14" s="29">
        <v>3.9</v>
      </c>
      <c r="EZ14" s="29">
        <v>4.7300000000000004</v>
      </c>
      <c r="FA14" s="29">
        <v>6.07</v>
      </c>
      <c r="FB14" s="29">
        <v>6.9</v>
      </c>
      <c r="FC14" s="29">
        <v>7.26</v>
      </c>
      <c r="FD14" s="29">
        <v>6.77</v>
      </c>
      <c r="FE14" s="29">
        <v>6.68</v>
      </c>
      <c r="FF14" s="29">
        <v>8.94</v>
      </c>
      <c r="FG14" s="29">
        <v>10.68</v>
      </c>
      <c r="FH14" s="29">
        <v>8.35</v>
      </c>
      <c r="FI14" s="29">
        <v>7.83</v>
      </c>
      <c r="FJ14" s="29">
        <v>5.85</v>
      </c>
      <c r="FK14" s="29">
        <v>4.79</v>
      </c>
      <c r="FL14" s="29">
        <v>4.53</v>
      </c>
      <c r="FM14" s="29">
        <v>5.47</v>
      </c>
      <c r="FN14" s="29">
        <v>6.12</v>
      </c>
      <c r="FO14" s="29">
        <v>6.98</v>
      </c>
      <c r="FP14" s="29">
        <v>7.26</v>
      </c>
      <c r="FQ14" s="29">
        <v>8.33</v>
      </c>
      <c r="FR14" s="29">
        <v>6.75</v>
      </c>
      <c r="FS14" s="29">
        <v>7.61</v>
      </c>
      <c r="FT14" s="29">
        <v>5.05</v>
      </c>
      <c r="FU14" s="29">
        <v>4.5999999999999996</v>
      </c>
      <c r="FV14" s="29">
        <v>4.32</v>
      </c>
      <c r="FW14" s="29">
        <v>3.55</v>
      </c>
      <c r="FX14" s="29">
        <v>3.77</v>
      </c>
      <c r="FY14" s="29">
        <v>5.46</v>
      </c>
      <c r="FZ14" s="29">
        <v>5.57</v>
      </c>
      <c r="GA14" s="29">
        <v>6.87</v>
      </c>
      <c r="GB14" s="29">
        <v>5.76</v>
      </c>
      <c r="GC14" s="29">
        <v>7.58</v>
      </c>
      <c r="GD14" s="29">
        <v>8.84</v>
      </c>
      <c r="GE14" s="29">
        <v>8.25</v>
      </c>
      <c r="GF14" s="29">
        <v>6.39</v>
      </c>
      <c r="GG14" s="29">
        <v>7.35</v>
      </c>
      <c r="GH14" s="29">
        <v>8.1999999999999993</v>
      </c>
      <c r="GI14" s="29">
        <v>5</v>
      </c>
      <c r="GJ14" s="29">
        <v>6.11</v>
      </c>
      <c r="GK14" s="29">
        <v>5.83</v>
      </c>
      <c r="GL14" s="29">
        <v>7.43</v>
      </c>
      <c r="GM14" s="29">
        <v>7.61</v>
      </c>
      <c r="GN14" s="29">
        <v>7.51</v>
      </c>
      <c r="GO14" s="29">
        <v>7.35</v>
      </c>
      <c r="GP14" s="29">
        <v>7.81</v>
      </c>
      <c r="GQ14" s="29">
        <v>9.74</v>
      </c>
      <c r="GR14" s="29">
        <v>8.89</v>
      </c>
      <c r="GS14" s="29">
        <v>8.5</v>
      </c>
      <c r="GT14" s="29">
        <v>8.06</v>
      </c>
      <c r="GU14" s="29">
        <v>5.82</v>
      </c>
      <c r="GV14" s="29">
        <v>5.96</v>
      </c>
      <c r="GW14" s="29">
        <v>6.91</v>
      </c>
      <c r="GX14" s="29">
        <v>6.1</v>
      </c>
      <c r="GY14" s="29">
        <v>8.01</v>
      </c>
      <c r="GZ14" s="29">
        <v>7.45</v>
      </c>
      <c r="HA14" s="29">
        <v>9.35</v>
      </c>
      <c r="HB14" s="29">
        <v>9.25</v>
      </c>
      <c r="HC14" s="29">
        <v>10.56</v>
      </c>
      <c r="HD14" s="29">
        <v>9.7200000000000006</v>
      </c>
      <c r="HE14" s="29">
        <v>6.93</v>
      </c>
      <c r="HF14" s="29">
        <v>6.87</v>
      </c>
      <c r="HG14" s="29">
        <v>5.86</v>
      </c>
      <c r="HH14" s="29">
        <v>6.11</v>
      </c>
      <c r="HI14" s="29">
        <v>7.08</v>
      </c>
      <c r="HJ14" s="29">
        <v>7.73</v>
      </c>
      <c r="HK14" s="29">
        <v>8.3699999999999992</v>
      </c>
      <c r="HL14" s="29">
        <v>8.1999999999999993</v>
      </c>
      <c r="HM14" s="29">
        <v>8.4499999999999993</v>
      </c>
      <c r="HN14" s="29">
        <v>9.8000000000000007</v>
      </c>
      <c r="HO14" s="29">
        <v>13.2</v>
      </c>
      <c r="HP14" s="29">
        <v>11.9</v>
      </c>
      <c r="HQ14" s="29">
        <v>10.17</v>
      </c>
      <c r="HR14" s="29">
        <v>7.75</v>
      </c>
      <c r="HS14" s="29">
        <v>7.2</v>
      </c>
      <c r="HT14" s="29">
        <v>6.92</v>
      </c>
      <c r="HU14" s="29">
        <v>8.25</v>
      </c>
      <c r="HV14" s="29">
        <v>8.25</v>
      </c>
      <c r="HW14" s="29">
        <v>8.93</v>
      </c>
      <c r="HX14" s="29">
        <v>9.27</v>
      </c>
      <c r="HY14" s="29">
        <v>9.92</v>
      </c>
      <c r="HZ14" s="29">
        <v>8.1300000000000008</v>
      </c>
      <c r="IA14" s="29">
        <v>13.48</v>
      </c>
      <c r="IB14" s="29">
        <v>11.83</v>
      </c>
      <c r="IC14" s="29">
        <v>10.55</v>
      </c>
      <c r="ID14" s="29">
        <v>13.6</v>
      </c>
      <c r="IE14" s="29">
        <v>11.53</v>
      </c>
      <c r="IF14" s="29">
        <v>11.93</v>
      </c>
      <c r="IG14" s="29">
        <v>10.75</v>
      </c>
      <c r="IH14" s="29">
        <v>10.85</v>
      </c>
      <c r="II14" s="29">
        <v>11.73</v>
      </c>
      <c r="IJ14" s="29">
        <v>12.42</v>
      </c>
      <c r="IK14" s="29">
        <v>11.35</v>
      </c>
      <c r="IL14" s="29">
        <v>10.73</v>
      </c>
      <c r="IM14" s="29">
        <v>15.52</v>
      </c>
      <c r="IN14" s="29">
        <v>13.77</v>
      </c>
      <c r="IO14" s="29">
        <v>11.7</v>
      </c>
      <c r="IP14" s="29">
        <v>14.1</v>
      </c>
      <c r="IQ14" s="29">
        <v>12.63</v>
      </c>
      <c r="IR14" s="29">
        <v>9.93</v>
      </c>
      <c r="IS14" s="29">
        <v>9.84</v>
      </c>
      <c r="IT14" s="29">
        <v>9.83</v>
      </c>
      <c r="IU14" s="29">
        <v>10.01</v>
      </c>
      <c r="IV14" s="29">
        <v>10.56</v>
      </c>
      <c r="IW14" s="18">
        <v>11.18</v>
      </c>
      <c r="IX14" s="18">
        <v>10.79</v>
      </c>
      <c r="IY14" s="18">
        <v>11.69</v>
      </c>
      <c r="IZ14" s="19">
        <v>12.07</v>
      </c>
      <c r="JA14" s="20">
        <v>11.37</v>
      </c>
      <c r="JB14" s="20">
        <v>11.54</v>
      </c>
      <c r="JC14" s="20">
        <v>10.6</v>
      </c>
      <c r="JD14" s="20">
        <v>10.58</v>
      </c>
      <c r="JE14" s="20">
        <v>11.24</v>
      </c>
      <c r="JF14" s="21">
        <v>11.26</v>
      </c>
      <c r="JG14" s="22">
        <v>11.11</v>
      </c>
      <c r="JH14" s="22">
        <v>12.19</v>
      </c>
      <c r="JI14" s="20">
        <v>12.25</v>
      </c>
      <c r="JJ14" s="23">
        <v>12.23</v>
      </c>
      <c r="JK14" s="24">
        <v>12.76</v>
      </c>
      <c r="JL14" s="24">
        <v>12.44</v>
      </c>
      <c r="JM14" s="25">
        <v>13.02</v>
      </c>
      <c r="JN14" s="25">
        <v>13.09</v>
      </c>
      <c r="JO14" s="17">
        <v>14.14</v>
      </c>
      <c r="JP14" s="17">
        <v>11.03</v>
      </c>
      <c r="JQ14" s="25">
        <v>12.74</v>
      </c>
      <c r="JR14" s="25">
        <v>14.07</v>
      </c>
      <c r="JS14" s="25">
        <v>14.7</v>
      </c>
      <c r="JT14" s="25">
        <v>13.46</v>
      </c>
      <c r="JU14" s="17">
        <v>14.02</v>
      </c>
      <c r="JV14" s="8">
        <v>15.42</v>
      </c>
      <c r="JW14" s="8">
        <v>17.55</v>
      </c>
      <c r="JX14" s="8">
        <v>15.53</v>
      </c>
      <c r="JY14" s="8">
        <v>11.58</v>
      </c>
      <c r="JZ14" s="8">
        <v>12.71</v>
      </c>
      <c r="KA14" s="8">
        <v>11.83</v>
      </c>
      <c r="KB14" s="8">
        <v>12.07</v>
      </c>
      <c r="KC14" s="26">
        <v>13.39</v>
      </c>
      <c r="KD14" s="26">
        <v>13.62</v>
      </c>
      <c r="KE14" s="26">
        <v>13.85</v>
      </c>
      <c r="KF14" s="26">
        <v>14.08</v>
      </c>
      <c r="KG14" s="26">
        <v>13.13</v>
      </c>
      <c r="KH14" s="26">
        <v>13.6</v>
      </c>
      <c r="KI14" s="26">
        <v>14.33</v>
      </c>
      <c r="KJ14" s="26">
        <v>14.36</v>
      </c>
      <c r="KK14" s="26">
        <v>13.47</v>
      </c>
      <c r="KL14" s="8">
        <v>10.94</v>
      </c>
      <c r="KM14" s="26">
        <v>11.23</v>
      </c>
      <c r="KN14" s="18">
        <v>11.08</v>
      </c>
      <c r="KO14" s="18">
        <v>12.719999999999999</v>
      </c>
      <c r="KP14" s="18">
        <v>12.27</v>
      </c>
      <c r="KQ14" s="18">
        <v>13.569999999999999</v>
      </c>
      <c r="KR14" s="18">
        <v>12.729999999999999</v>
      </c>
      <c r="KS14" s="18">
        <v>11.62</v>
      </c>
      <c r="KT14" s="18">
        <v>12.799999999999999</v>
      </c>
      <c r="KU14" s="26">
        <v>15.260000000000002</v>
      </c>
      <c r="KV14" s="18">
        <v>14.12</v>
      </c>
      <c r="KW14" s="17">
        <v>14.26</v>
      </c>
      <c r="KX14" s="17">
        <v>14.209999999999999</v>
      </c>
      <c r="KY14" s="18">
        <v>10.17</v>
      </c>
      <c r="KZ14" s="17">
        <v>9.5399999999999991</v>
      </c>
      <c r="LA14" s="17">
        <v>10.48</v>
      </c>
      <c r="LB14" s="17">
        <v>10.75</v>
      </c>
      <c r="LC14" s="17">
        <v>11.16</v>
      </c>
      <c r="LD14" s="17">
        <v>12.25</v>
      </c>
      <c r="LE14" s="17">
        <v>11.3</v>
      </c>
      <c r="LF14" s="17">
        <v>12.77</v>
      </c>
      <c r="LG14" s="8">
        <v>11.86</v>
      </c>
      <c r="LH14" s="18">
        <v>14.52</v>
      </c>
      <c r="LI14" s="18">
        <v>13.58</v>
      </c>
      <c r="LJ14" s="18">
        <v>11.98</v>
      </c>
      <c r="LK14" s="18">
        <v>11.969999999999999</v>
      </c>
      <c r="LL14" s="18">
        <v>10.06</v>
      </c>
      <c r="LM14" s="18">
        <v>10.84</v>
      </c>
      <c r="LN14" s="18">
        <v>10.89</v>
      </c>
      <c r="LO14" s="18">
        <v>10.55</v>
      </c>
      <c r="LP14" s="18">
        <v>11.44</v>
      </c>
      <c r="LQ14" s="18">
        <v>10.89</v>
      </c>
      <c r="LR14" s="18">
        <v>12.74</v>
      </c>
      <c r="LS14" s="18">
        <v>13.14</v>
      </c>
      <c r="LT14" s="18">
        <v>14.379999999999999</v>
      </c>
      <c r="LU14" s="18">
        <v>13.79</v>
      </c>
      <c r="LV14" s="17">
        <v>15.739999999999998</v>
      </c>
      <c r="LW14" s="17">
        <v>13.31</v>
      </c>
      <c r="LX14" s="17">
        <v>10.73</v>
      </c>
      <c r="LY14" s="17">
        <v>11.87</v>
      </c>
      <c r="LZ14" s="17">
        <v>11.65</v>
      </c>
      <c r="MA14" s="17">
        <v>11.87</v>
      </c>
      <c r="MB14" s="17">
        <v>12.59</v>
      </c>
      <c r="MC14" s="17">
        <v>11.53</v>
      </c>
      <c r="MD14" s="17">
        <v>14.13</v>
      </c>
      <c r="ME14" s="17">
        <v>15.01</v>
      </c>
      <c r="MF14" s="17">
        <v>16.439999999999998</v>
      </c>
      <c r="MG14" s="17">
        <v>14.43</v>
      </c>
      <c r="MH14" s="17">
        <v>12.53</v>
      </c>
      <c r="MI14" s="17">
        <v>12.790000000000001</v>
      </c>
      <c r="MJ14" s="17">
        <v>11.25</v>
      </c>
      <c r="MK14" s="17">
        <v>11.83</v>
      </c>
      <c r="ML14" s="17">
        <v>11.65</v>
      </c>
      <c r="MM14" s="27">
        <v>12.17</v>
      </c>
      <c r="MN14" s="27">
        <f>VLOOKUP(B14,[1]Sheet1!$A:$N,7,0)</f>
        <v>12.49</v>
      </c>
      <c r="MO14" s="27">
        <f>VLOOKUP(B14,[1]Sheet1!$A:$N,8,0)</f>
        <v>16.439999999999998</v>
      </c>
      <c r="MP14" s="27">
        <f>VLOOKUP(B14,[1]Sheet1!$A:$N,9,0)</f>
        <v>14.23</v>
      </c>
      <c r="MQ14" s="27">
        <f>VLOOKUP(B14,[1]Sheet1!$A:$N,10,0)</f>
        <v>15.549999999999999</v>
      </c>
      <c r="MR14" s="27">
        <f>VLOOKUP(B14,[1]Sheet1!$A:$N,11,0)</f>
        <v>14.53</v>
      </c>
      <c r="MS14" s="27">
        <f>VLOOKUP(B14,[1]Sheet1!$A:$N,12,0)</f>
        <v>12.74</v>
      </c>
      <c r="MT14" s="27">
        <f>VLOOKUP(B14,[1]Sheet1!$A:$N,13,0)</f>
        <v>14.15</v>
      </c>
      <c r="MU14" s="27">
        <f>VLOOKUP(B14,[1]Sheet1!$A:$N,14,0)</f>
        <v>10.93</v>
      </c>
    </row>
    <row r="15" spans="1:360" s="27" customFormat="1" ht="18.75" customHeight="1" x14ac:dyDescent="0.25">
      <c r="A15" s="8" t="s">
        <v>0</v>
      </c>
      <c r="B15" s="8">
        <v>10220</v>
      </c>
      <c r="C15" s="9" t="s">
        <v>20</v>
      </c>
      <c r="D15" s="10" t="s">
        <v>47</v>
      </c>
      <c r="E15" s="10" t="s">
        <v>51</v>
      </c>
      <c r="F15" s="11" t="s">
        <v>49</v>
      </c>
      <c r="G15" s="39" t="s">
        <v>1</v>
      </c>
      <c r="H15" s="41">
        <v>170.4</v>
      </c>
      <c r="I15" s="13" t="s">
        <v>2</v>
      </c>
      <c r="J15" s="28">
        <v>10.68</v>
      </c>
      <c r="K15" s="15">
        <v>16.381333999999999</v>
      </c>
      <c r="L15" s="15">
        <v>80.853342999999995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8"/>
      <c r="Z15" s="29">
        <v>4</v>
      </c>
      <c r="AA15" s="29">
        <v>4.1399999999999997</v>
      </c>
      <c r="AB15" s="29">
        <v>4.9000000000000004</v>
      </c>
      <c r="AC15" s="29">
        <v>6.54</v>
      </c>
      <c r="AD15" s="29">
        <v>6.47</v>
      </c>
      <c r="AE15" s="29">
        <v>6.359</v>
      </c>
      <c r="AF15" s="29">
        <v>4.92</v>
      </c>
      <c r="AG15" s="29">
        <v>4.2649999999999997</v>
      </c>
      <c r="AH15" s="29">
        <v>4</v>
      </c>
      <c r="AI15" s="29">
        <v>2.2050000000000001</v>
      </c>
      <c r="AJ15" s="29">
        <v>2.37</v>
      </c>
      <c r="AK15" s="29">
        <v>2.415</v>
      </c>
      <c r="AL15" s="29">
        <v>4.12</v>
      </c>
      <c r="AM15" s="29">
        <v>4.5999999999999996</v>
      </c>
      <c r="AN15" s="29">
        <v>4.91</v>
      </c>
      <c r="AO15" s="29">
        <v>5.05</v>
      </c>
      <c r="AP15" s="29">
        <v>6</v>
      </c>
      <c r="AQ15" s="29">
        <v>6.93</v>
      </c>
      <c r="AR15" s="29">
        <v>7.32</v>
      </c>
      <c r="AS15" s="29">
        <v>3.4</v>
      </c>
      <c r="AT15" s="29">
        <v>3.8</v>
      </c>
      <c r="AU15" s="29">
        <v>3.95</v>
      </c>
      <c r="AV15" s="29">
        <v>5.64</v>
      </c>
      <c r="AW15" s="29">
        <v>6.35</v>
      </c>
      <c r="AX15" s="29">
        <v>6.17</v>
      </c>
      <c r="AY15" s="29">
        <v>5.76</v>
      </c>
      <c r="AZ15" s="29">
        <v>5.61</v>
      </c>
      <c r="BA15" s="29">
        <v>5.71</v>
      </c>
      <c r="BB15" s="29">
        <v>5.83</v>
      </c>
      <c r="BC15" s="29">
        <v>4.95</v>
      </c>
      <c r="BD15" s="29">
        <v>3.6659999999999999</v>
      </c>
      <c r="BE15" s="29">
        <v>4.3339999999999996</v>
      </c>
      <c r="BF15" s="29">
        <v>4.54</v>
      </c>
      <c r="BG15" s="29">
        <v>4.75</v>
      </c>
      <c r="BH15" s="29">
        <v>4.24</v>
      </c>
      <c r="BI15" s="29">
        <v>5.3</v>
      </c>
      <c r="BJ15" s="29">
        <v>5.12</v>
      </c>
      <c r="BK15" s="29">
        <v>5.45</v>
      </c>
      <c r="BL15" s="29">
        <v>4.8899999999999997</v>
      </c>
      <c r="BM15" s="29">
        <v>6.29</v>
      </c>
      <c r="BN15" s="29">
        <v>6.36</v>
      </c>
      <c r="BO15" s="29">
        <v>7.32</v>
      </c>
      <c r="BP15" s="29">
        <v>5.43</v>
      </c>
      <c r="BQ15" s="29">
        <v>5.37</v>
      </c>
      <c r="BR15" s="29">
        <v>4.09</v>
      </c>
      <c r="BS15" s="29">
        <v>4.18</v>
      </c>
      <c r="BT15" s="29">
        <v>4.8099999999999996</v>
      </c>
      <c r="BU15" s="29">
        <v>4.9400000000000004</v>
      </c>
      <c r="BV15" s="29">
        <v>5.19</v>
      </c>
      <c r="BW15" s="29">
        <v>4.72</v>
      </c>
      <c r="BX15" s="29">
        <v>5.41</v>
      </c>
      <c r="BY15" s="29">
        <v>6.59</v>
      </c>
      <c r="BZ15" s="29">
        <v>6.53</v>
      </c>
      <c r="CA15" s="29">
        <v>7.08</v>
      </c>
      <c r="CB15" s="29">
        <v>6.79</v>
      </c>
      <c r="CC15" s="29">
        <v>6.21</v>
      </c>
      <c r="CD15" s="29">
        <v>5.85</v>
      </c>
      <c r="CE15" s="29">
        <v>5.21</v>
      </c>
      <c r="CF15" s="29">
        <v>5.28</v>
      </c>
      <c r="CG15" s="29">
        <v>5.9</v>
      </c>
      <c r="CH15" s="29">
        <v>6.49</v>
      </c>
      <c r="CI15" s="29">
        <v>6.17</v>
      </c>
      <c r="CJ15" s="29">
        <v>6.68</v>
      </c>
      <c r="CK15" s="29">
        <v>7.65</v>
      </c>
      <c r="CL15" s="29">
        <v>7.66</v>
      </c>
      <c r="CM15" s="29">
        <v>6.93</v>
      </c>
      <c r="CN15" s="29">
        <v>6.31</v>
      </c>
      <c r="CO15" s="29">
        <v>7.38</v>
      </c>
      <c r="CP15" s="29">
        <v>7.02</v>
      </c>
      <c r="CQ15" s="29">
        <v>6.63</v>
      </c>
      <c r="CR15" s="29">
        <v>6.3</v>
      </c>
      <c r="CS15" s="29">
        <v>5.74</v>
      </c>
      <c r="CT15" s="29">
        <v>6.5</v>
      </c>
      <c r="CU15" s="29">
        <v>7.84</v>
      </c>
      <c r="CV15" s="29">
        <v>8.4700000000000006</v>
      </c>
      <c r="CW15" s="29">
        <v>7.61</v>
      </c>
      <c r="CX15" s="29">
        <v>7.26</v>
      </c>
      <c r="CY15" s="29">
        <v>8.64</v>
      </c>
      <c r="CZ15" s="29">
        <v>7.29</v>
      </c>
      <c r="DA15" s="29">
        <v>6.34</v>
      </c>
      <c r="DB15" s="29">
        <v>3.79</v>
      </c>
      <c r="DC15" s="29">
        <v>3.57</v>
      </c>
      <c r="DD15" s="29">
        <v>3.26</v>
      </c>
      <c r="DE15" s="29">
        <v>5.26</v>
      </c>
      <c r="DF15" s="29">
        <v>6.25</v>
      </c>
      <c r="DG15" s="29">
        <v>6.75</v>
      </c>
      <c r="DH15" s="29">
        <v>8.4</v>
      </c>
      <c r="DI15" s="29">
        <v>9.07</v>
      </c>
      <c r="DJ15" s="29">
        <v>9.92</v>
      </c>
      <c r="DK15" s="29">
        <v>10.01</v>
      </c>
      <c r="DL15" s="29">
        <v>8.67</v>
      </c>
      <c r="DM15" s="29">
        <v>6.27</v>
      </c>
      <c r="DN15" s="29">
        <v>5.48</v>
      </c>
      <c r="DO15" s="29">
        <v>4.74</v>
      </c>
      <c r="DP15" s="29">
        <v>4.42</v>
      </c>
      <c r="DQ15" s="29">
        <v>6.03</v>
      </c>
      <c r="DR15" s="29">
        <v>5.77</v>
      </c>
      <c r="DS15" s="29">
        <v>5.97</v>
      </c>
      <c r="DT15" s="29">
        <v>6.16</v>
      </c>
      <c r="DU15" s="29">
        <v>7.13</v>
      </c>
      <c r="DV15" s="29">
        <v>7.73</v>
      </c>
      <c r="DW15" s="29">
        <v>8.58</v>
      </c>
      <c r="DX15" s="29">
        <v>7</v>
      </c>
      <c r="DY15" s="29">
        <v>5.42</v>
      </c>
      <c r="DZ15" s="29">
        <v>5.3</v>
      </c>
      <c r="EA15" s="29">
        <v>3.98</v>
      </c>
      <c r="EB15" s="29">
        <v>4.45</v>
      </c>
      <c r="EC15" s="29">
        <v>5.38</v>
      </c>
      <c r="ED15" s="29">
        <v>5.45</v>
      </c>
      <c r="EE15" s="29">
        <v>6</v>
      </c>
      <c r="EF15" s="29">
        <v>6.33</v>
      </c>
      <c r="EG15" s="29">
        <v>6.91</v>
      </c>
      <c r="EH15" s="29">
        <v>7.57</v>
      </c>
      <c r="EI15" s="29">
        <v>7</v>
      </c>
      <c r="EJ15" s="29">
        <v>6.23</v>
      </c>
      <c r="EK15" s="29">
        <v>4.97</v>
      </c>
      <c r="EL15" s="29">
        <v>4.8499999999999996</v>
      </c>
      <c r="EM15" s="29">
        <v>4.58</v>
      </c>
      <c r="EN15" s="29">
        <v>4.7699999999999996</v>
      </c>
      <c r="EO15" s="29">
        <v>5.24</v>
      </c>
      <c r="EP15" s="29">
        <v>5.14</v>
      </c>
      <c r="EQ15" s="29">
        <v>5.08</v>
      </c>
      <c r="ER15" s="29">
        <v>5.05</v>
      </c>
      <c r="ES15" s="29">
        <v>6.39</v>
      </c>
      <c r="ET15" s="29">
        <v>7.25</v>
      </c>
      <c r="EU15" s="29">
        <v>6.9</v>
      </c>
      <c r="EV15" s="29">
        <v>6.03</v>
      </c>
      <c r="EW15" s="29">
        <v>5.86</v>
      </c>
      <c r="EX15" s="29">
        <v>5.87</v>
      </c>
      <c r="EY15" s="29">
        <v>5.07</v>
      </c>
      <c r="EZ15" s="29">
        <v>4.6100000000000003</v>
      </c>
      <c r="FA15" s="29">
        <v>6.07</v>
      </c>
      <c r="FB15" s="29">
        <v>6.6</v>
      </c>
      <c r="FC15" s="29">
        <v>6.93</v>
      </c>
      <c r="FD15" s="29">
        <v>7.04</v>
      </c>
      <c r="FE15" s="29">
        <v>6.59</v>
      </c>
      <c r="FF15" s="29">
        <v>7.28</v>
      </c>
      <c r="FG15" s="29">
        <v>8.43</v>
      </c>
      <c r="FH15" s="29">
        <v>9.0500000000000007</v>
      </c>
      <c r="FI15" s="29">
        <v>8.2100000000000009</v>
      </c>
      <c r="FJ15" s="29">
        <v>6.45</v>
      </c>
      <c r="FK15" s="29">
        <v>6</v>
      </c>
      <c r="FL15" s="29">
        <v>4.6399999999999997</v>
      </c>
      <c r="FM15" s="29">
        <v>5.25</v>
      </c>
      <c r="FN15" s="29">
        <v>5.83</v>
      </c>
      <c r="FO15" s="29">
        <v>6.67</v>
      </c>
      <c r="FP15" s="29">
        <v>6.97</v>
      </c>
      <c r="FQ15" s="29">
        <v>7.37</v>
      </c>
      <c r="FR15" s="29">
        <v>6.74</v>
      </c>
      <c r="FS15" s="29">
        <v>7.45</v>
      </c>
      <c r="FT15" s="29">
        <v>6.1</v>
      </c>
      <c r="FU15" s="29">
        <v>4.5199999999999996</v>
      </c>
      <c r="FV15" s="29">
        <v>4.87</v>
      </c>
      <c r="FW15" s="29">
        <v>3.8</v>
      </c>
      <c r="FX15" s="29">
        <v>3.82</v>
      </c>
      <c r="FY15" s="29">
        <v>5.08</v>
      </c>
      <c r="FZ15" s="29">
        <v>5.65</v>
      </c>
      <c r="GA15" s="29">
        <v>5.79</v>
      </c>
      <c r="GB15" s="29">
        <v>6.37</v>
      </c>
      <c r="GC15" s="29">
        <v>6.51</v>
      </c>
      <c r="GD15" s="29">
        <v>7.7</v>
      </c>
      <c r="GE15" s="29">
        <v>8.35</v>
      </c>
      <c r="GF15" s="29">
        <v>7.55</v>
      </c>
      <c r="GG15" s="29">
        <v>6.75</v>
      </c>
      <c r="GH15" s="29">
        <v>7.18</v>
      </c>
      <c r="GI15" s="29">
        <v>5.45</v>
      </c>
      <c r="GJ15" s="29">
        <v>5.82</v>
      </c>
      <c r="GK15" s="29">
        <v>5.45</v>
      </c>
      <c r="GL15" s="29">
        <v>6.39</v>
      </c>
      <c r="GM15" s="29">
        <v>7.53</v>
      </c>
      <c r="GN15" s="29">
        <v>8.58</v>
      </c>
      <c r="GO15" s="29">
        <v>7.3</v>
      </c>
      <c r="GP15" s="29">
        <v>8.1</v>
      </c>
      <c r="GQ15" s="29">
        <v>8.6199999999999992</v>
      </c>
      <c r="GR15" s="29">
        <v>8.0500000000000007</v>
      </c>
      <c r="GS15" s="29">
        <v>8.23</v>
      </c>
      <c r="GT15" s="29">
        <v>7.69</v>
      </c>
      <c r="GU15" s="29">
        <v>6.16</v>
      </c>
      <c r="GV15" s="29">
        <v>6.1</v>
      </c>
      <c r="GW15" s="29">
        <v>6.62</v>
      </c>
      <c r="GX15" s="29">
        <v>6.68</v>
      </c>
      <c r="GY15" s="29">
        <v>7.66</v>
      </c>
      <c r="GZ15" s="29">
        <v>8.01</v>
      </c>
      <c r="HA15" s="29">
        <v>8.44</v>
      </c>
      <c r="HB15" s="29">
        <v>8.4</v>
      </c>
      <c r="HC15" s="29">
        <v>9.57</v>
      </c>
      <c r="HD15" s="29">
        <v>9.51</v>
      </c>
      <c r="HE15" s="29">
        <v>7.59</v>
      </c>
      <c r="HF15" s="29">
        <v>6.71</v>
      </c>
      <c r="HG15" s="29">
        <v>6.07</v>
      </c>
      <c r="HH15" s="29">
        <v>5.44</v>
      </c>
      <c r="HI15" s="29">
        <v>6.6</v>
      </c>
      <c r="HJ15" s="29">
        <v>7.33</v>
      </c>
      <c r="HK15" s="29">
        <v>8.01</v>
      </c>
      <c r="HL15" s="29">
        <v>8.15</v>
      </c>
      <c r="HM15" s="29">
        <v>7.73</v>
      </c>
      <c r="HN15" s="29">
        <v>8.9600000000000009</v>
      </c>
      <c r="HO15" s="29">
        <v>10.3</v>
      </c>
      <c r="HP15" s="29">
        <v>11.23</v>
      </c>
      <c r="HQ15" s="29">
        <v>9.9499999999999993</v>
      </c>
      <c r="HR15" s="29">
        <v>7.75</v>
      </c>
      <c r="HS15" s="29">
        <v>7.51</v>
      </c>
      <c r="HT15" s="29">
        <v>6.63</v>
      </c>
      <c r="HU15" s="29">
        <v>7.81</v>
      </c>
      <c r="HV15" s="29">
        <v>8.1300000000000008</v>
      </c>
      <c r="HW15" s="29">
        <v>8.43</v>
      </c>
      <c r="HX15" s="29">
        <v>9.0299999999999994</v>
      </c>
      <c r="HY15" s="29">
        <v>9.5399999999999991</v>
      </c>
      <c r="HZ15" s="29">
        <v>8.9700000000000006</v>
      </c>
      <c r="IA15" s="29">
        <v>10.52</v>
      </c>
      <c r="IB15" s="29">
        <v>11.05</v>
      </c>
      <c r="IC15" s="29">
        <v>10.44</v>
      </c>
      <c r="ID15" s="29">
        <v>11.82</v>
      </c>
      <c r="IE15" s="29">
        <v>11.52</v>
      </c>
      <c r="IF15" s="29">
        <v>11.13</v>
      </c>
      <c r="IG15" s="29">
        <v>10.29</v>
      </c>
      <c r="IH15" s="29">
        <v>10.27</v>
      </c>
      <c r="II15" s="29">
        <v>10.66</v>
      </c>
      <c r="IJ15" s="29">
        <v>11.09</v>
      </c>
      <c r="IK15" s="29">
        <v>10.66</v>
      </c>
      <c r="IL15" s="29">
        <v>10.119999999999999</v>
      </c>
      <c r="IM15" s="29">
        <v>12.64</v>
      </c>
      <c r="IN15" s="29">
        <v>13.95</v>
      </c>
      <c r="IO15" s="29">
        <v>12.13</v>
      </c>
      <c r="IP15" s="29">
        <v>11.89</v>
      </c>
      <c r="IQ15" s="29">
        <v>12.39</v>
      </c>
      <c r="IR15" s="29">
        <v>9.85</v>
      </c>
      <c r="IS15" s="29">
        <v>10.35</v>
      </c>
      <c r="IT15" s="29">
        <v>10.35</v>
      </c>
      <c r="IU15" s="29">
        <v>10.42</v>
      </c>
      <c r="IV15" s="29">
        <v>11.46</v>
      </c>
      <c r="IW15" s="18">
        <v>13.28</v>
      </c>
      <c r="IX15" s="18">
        <v>11.06</v>
      </c>
      <c r="IY15" s="18">
        <v>15.3</v>
      </c>
      <c r="IZ15" s="19">
        <v>14.37</v>
      </c>
      <c r="JA15" s="20">
        <v>13.6</v>
      </c>
      <c r="JB15" s="20">
        <v>12.82</v>
      </c>
      <c r="JC15" s="20">
        <v>10.48</v>
      </c>
      <c r="JD15" s="20">
        <v>10.87</v>
      </c>
      <c r="JE15" s="20">
        <v>12.81</v>
      </c>
      <c r="JF15" s="21">
        <v>12.76</v>
      </c>
      <c r="JG15" s="22">
        <v>14.41</v>
      </c>
      <c r="JH15" s="22">
        <v>12.8</v>
      </c>
      <c r="JI15" s="20">
        <v>13.57</v>
      </c>
      <c r="JJ15" s="23">
        <v>14.02</v>
      </c>
      <c r="JK15" s="24">
        <v>14.1</v>
      </c>
      <c r="JL15" s="24">
        <v>13.74</v>
      </c>
      <c r="JM15" s="25">
        <v>13.68</v>
      </c>
      <c r="JN15" s="25">
        <v>14.81</v>
      </c>
      <c r="JO15" s="17">
        <v>13.26</v>
      </c>
      <c r="JP15" s="17">
        <v>11.39</v>
      </c>
      <c r="JQ15" s="25">
        <v>13.28</v>
      </c>
      <c r="JR15" s="25">
        <v>14.27</v>
      </c>
      <c r="JS15" s="25">
        <v>14.98</v>
      </c>
      <c r="JT15" s="25">
        <v>13.63</v>
      </c>
      <c r="JU15" s="17">
        <v>13.89</v>
      </c>
      <c r="JV15" s="8">
        <v>14.92</v>
      </c>
      <c r="JW15" s="8">
        <v>17.100000000000001</v>
      </c>
      <c r="JX15" s="8">
        <v>15.16</v>
      </c>
      <c r="JY15" s="8">
        <v>12.03</v>
      </c>
      <c r="JZ15" s="8">
        <v>12.98</v>
      </c>
      <c r="KA15" s="8">
        <v>12.21</v>
      </c>
      <c r="KB15" s="8">
        <v>12.57</v>
      </c>
      <c r="KC15" s="26">
        <v>13.09</v>
      </c>
      <c r="KD15" s="26">
        <v>13.3</v>
      </c>
      <c r="KE15" s="26">
        <v>13.51</v>
      </c>
      <c r="KF15" s="26">
        <v>13.72</v>
      </c>
      <c r="KG15" s="26">
        <v>13.23</v>
      </c>
      <c r="KH15" s="26">
        <v>13.34</v>
      </c>
      <c r="KI15" s="26">
        <v>14.93</v>
      </c>
      <c r="KJ15" s="26">
        <v>14.08</v>
      </c>
      <c r="KK15" s="26">
        <v>12.84</v>
      </c>
      <c r="KL15" s="8">
        <v>10.319999999999999</v>
      </c>
      <c r="KM15" s="26">
        <v>11.75</v>
      </c>
      <c r="KN15" s="18">
        <v>10.99</v>
      </c>
      <c r="KO15" s="18">
        <v>12.45</v>
      </c>
      <c r="KP15" s="18">
        <v>12.459999999999999</v>
      </c>
      <c r="KQ15" s="18">
        <v>13.8</v>
      </c>
      <c r="KR15" s="18">
        <v>13.08</v>
      </c>
      <c r="KS15" s="18">
        <v>11.29</v>
      </c>
      <c r="KT15" s="18">
        <v>12.75</v>
      </c>
      <c r="KU15" s="26">
        <v>16.45</v>
      </c>
      <c r="KV15" s="18">
        <v>13.78</v>
      </c>
      <c r="KW15" s="17">
        <v>14.639999999999999</v>
      </c>
      <c r="KX15" s="17">
        <v>14.28</v>
      </c>
      <c r="KY15" s="18">
        <v>9.8699999999999992</v>
      </c>
      <c r="KZ15" s="17">
        <v>11.219999999999999</v>
      </c>
      <c r="LA15" s="17">
        <v>10.029999999999999</v>
      </c>
      <c r="LB15" s="17">
        <v>10.54</v>
      </c>
      <c r="LC15" s="17">
        <v>11.059999999999999</v>
      </c>
      <c r="LD15" s="17">
        <v>11.959999999999999</v>
      </c>
      <c r="LE15" s="17">
        <v>11.159999999999998</v>
      </c>
      <c r="LF15" s="17">
        <v>13.04</v>
      </c>
      <c r="LG15" s="8">
        <v>12.16</v>
      </c>
      <c r="LH15" s="18">
        <v>15.209999999999999</v>
      </c>
      <c r="LI15" s="18">
        <v>14.12</v>
      </c>
      <c r="LJ15" s="18">
        <v>12.639999999999999</v>
      </c>
      <c r="LK15" s="18">
        <v>11.639999999999999</v>
      </c>
      <c r="LL15" s="18">
        <v>10.319999999999999</v>
      </c>
      <c r="LM15" s="18">
        <v>10.54</v>
      </c>
      <c r="LN15" s="18">
        <v>10.75</v>
      </c>
      <c r="LO15" s="18">
        <v>10.18</v>
      </c>
      <c r="LP15" s="18">
        <v>11.58</v>
      </c>
      <c r="LQ15" s="18">
        <v>10.649999999999999</v>
      </c>
      <c r="LR15" s="18">
        <v>12.879999999999999</v>
      </c>
      <c r="LS15" s="18">
        <v>12.139999999999999</v>
      </c>
      <c r="LT15" s="18">
        <v>14.45</v>
      </c>
      <c r="LU15" s="18">
        <v>14.389999999999999</v>
      </c>
      <c r="LV15" s="17">
        <v>16.760000000000002</v>
      </c>
      <c r="LW15" s="17">
        <v>13.45</v>
      </c>
      <c r="LX15" s="17">
        <v>10.59</v>
      </c>
      <c r="LY15" s="17">
        <v>12.16</v>
      </c>
      <c r="LZ15" s="17">
        <v>11.74</v>
      </c>
      <c r="MA15" s="17">
        <v>11.88</v>
      </c>
      <c r="MB15" s="17">
        <v>12.69</v>
      </c>
      <c r="MC15" s="17">
        <v>11.42</v>
      </c>
      <c r="MD15" s="17">
        <v>14.76</v>
      </c>
      <c r="ME15" s="17">
        <v>15.29</v>
      </c>
      <c r="MF15" s="17">
        <v>17.72</v>
      </c>
      <c r="MG15" s="17">
        <v>14.89</v>
      </c>
      <c r="MH15" s="17">
        <v>12.84</v>
      </c>
      <c r="MI15" s="17">
        <v>13.22</v>
      </c>
      <c r="MJ15" s="17">
        <v>11.34</v>
      </c>
      <c r="MK15" s="17">
        <v>11.870000000000001</v>
      </c>
      <c r="ML15" s="17">
        <v>11.73</v>
      </c>
      <c r="MM15" s="27">
        <v>12.56</v>
      </c>
      <c r="MN15" s="27">
        <f>VLOOKUP(B15,[1]Sheet1!$A:$N,7,0)</f>
        <v>12.63</v>
      </c>
      <c r="MO15" s="27">
        <f>VLOOKUP(B15,[1]Sheet1!$A:$N,8,0)</f>
        <v>17.72</v>
      </c>
      <c r="MP15" s="27">
        <f>VLOOKUP(B15,[1]Sheet1!$A:$N,9,0)</f>
        <v>16.03</v>
      </c>
      <c r="MQ15" s="27">
        <f>VLOOKUP(B15,[1]Sheet1!$A:$N,10,0)</f>
        <v>14.96</v>
      </c>
      <c r="MR15" s="27">
        <f>VLOOKUP(B15,[1]Sheet1!$A:$N,11,0)</f>
        <v>14.7</v>
      </c>
      <c r="MS15" s="27">
        <f>VLOOKUP(B15,[1]Sheet1!$A:$N,12,0)</f>
        <v>12.83</v>
      </c>
      <c r="MT15" s="27">
        <f>VLOOKUP(B15,[1]Sheet1!$A:$N,13,0)</f>
        <v>15.37</v>
      </c>
      <c r="MU15" s="27">
        <f>VLOOKUP(B15,[1]Sheet1!$A:$N,14,0)</f>
        <v>11.28</v>
      </c>
    </row>
    <row r="16" spans="1:360" s="27" customFormat="1" ht="18.75" customHeight="1" x14ac:dyDescent="0.25">
      <c r="A16" s="18" t="s">
        <v>8</v>
      </c>
      <c r="B16" s="18">
        <v>20139</v>
      </c>
      <c r="C16" s="10" t="s">
        <v>20</v>
      </c>
      <c r="D16" s="10" t="s">
        <v>44</v>
      </c>
      <c r="E16" s="32" t="s">
        <v>44</v>
      </c>
      <c r="F16" s="11" t="s">
        <v>46</v>
      </c>
      <c r="G16" s="11"/>
      <c r="H16" s="41">
        <v>26</v>
      </c>
      <c r="I16" s="13" t="s">
        <v>2</v>
      </c>
      <c r="J16" s="28">
        <v>9.4600000000000009</v>
      </c>
      <c r="K16" s="15">
        <v>16.513570000000001</v>
      </c>
      <c r="L16" s="15">
        <v>80.887151000000003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2">
        <v>2.64</v>
      </c>
      <c r="GZ16" s="12">
        <v>3.22</v>
      </c>
      <c r="HA16" s="12">
        <v>3.29</v>
      </c>
      <c r="HB16" s="12">
        <v>3.41</v>
      </c>
      <c r="HC16" s="12">
        <v>3.41</v>
      </c>
      <c r="HD16" s="12">
        <v>3.35</v>
      </c>
      <c r="HE16" s="12">
        <v>2.4500000000000002</v>
      </c>
      <c r="HF16" s="12">
        <v>1.19</v>
      </c>
      <c r="HG16" s="12">
        <v>2.04</v>
      </c>
      <c r="HH16" s="12">
        <v>2.04</v>
      </c>
      <c r="HI16" s="12">
        <v>2.62</v>
      </c>
      <c r="HJ16" s="12">
        <v>2.71</v>
      </c>
      <c r="HK16" s="12">
        <v>2.8</v>
      </c>
      <c r="HL16" s="12">
        <v>2.94</v>
      </c>
      <c r="HM16" s="12">
        <v>3.29</v>
      </c>
      <c r="HN16" s="12">
        <v>3.54</v>
      </c>
      <c r="HO16" s="12">
        <v>4.13</v>
      </c>
      <c r="HP16" s="12">
        <v>4.53</v>
      </c>
      <c r="HQ16" s="12">
        <v>3.58</v>
      </c>
      <c r="HR16" s="12">
        <v>2.78</v>
      </c>
      <c r="HS16" s="12">
        <v>2.58</v>
      </c>
      <c r="HT16" s="12">
        <v>2.83</v>
      </c>
      <c r="HU16" s="12">
        <v>2.92</v>
      </c>
      <c r="HV16" s="12">
        <v>3.33</v>
      </c>
      <c r="HW16" s="12">
        <v>3.65</v>
      </c>
      <c r="HX16" s="12">
        <v>3.95</v>
      </c>
      <c r="HY16" s="12">
        <v>4.21</v>
      </c>
      <c r="HZ16" s="12">
        <v>4.25</v>
      </c>
      <c r="IA16" s="12">
        <v>4.32</v>
      </c>
      <c r="IB16" s="12">
        <v>5.23</v>
      </c>
      <c r="IC16" s="12">
        <v>4.97</v>
      </c>
      <c r="ID16" s="12">
        <v>5.19</v>
      </c>
      <c r="IE16" s="12">
        <v>5.68</v>
      </c>
      <c r="IF16" s="12">
        <v>5.46</v>
      </c>
      <c r="IG16" s="12">
        <v>5.43</v>
      </c>
      <c r="IH16" s="12">
        <v>5.57</v>
      </c>
      <c r="II16" s="12">
        <v>5.69</v>
      </c>
      <c r="IJ16" s="12">
        <v>5.79</v>
      </c>
      <c r="IK16" s="12">
        <v>5.93</v>
      </c>
      <c r="IL16" s="12">
        <v>5.9</v>
      </c>
      <c r="IM16" s="12">
        <v>6.02</v>
      </c>
      <c r="IN16" s="12">
        <v>6.04</v>
      </c>
      <c r="IO16" s="12">
        <v>5.92</v>
      </c>
      <c r="IP16" s="12">
        <v>5.75</v>
      </c>
      <c r="IQ16" s="12">
        <v>5.97</v>
      </c>
      <c r="IR16" s="12">
        <v>5.76</v>
      </c>
      <c r="IS16" s="12">
        <v>5.74</v>
      </c>
      <c r="IT16" s="12">
        <v>5.73</v>
      </c>
      <c r="IU16" s="12">
        <v>5.9</v>
      </c>
      <c r="IV16" s="12">
        <v>5.98</v>
      </c>
      <c r="IW16" s="18">
        <v>6.09</v>
      </c>
      <c r="IX16" s="18">
        <v>6.12</v>
      </c>
      <c r="IY16" s="18">
        <v>6.17</v>
      </c>
      <c r="IZ16" s="19">
        <v>6.11</v>
      </c>
      <c r="JA16" s="20">
        <v>5.9</v>
      </c>
      <c r="JB16" s="20">
        <v>5.91</v>
      </c>
      <c r="JC16" s="20">
        <v>5.9</v>
      </c>
      <c r="JD16" s="20">
        <v>5.98</v>
      </c>
      <c r="JE16" s="20">
        <v>6.12</v>
      </c>
      <c r="JF16" s="21">
        <v>8.16</v>
      </c>
      <c r="JG16" s="22">
        <v>6.21</v>
      </c>
      <c r="JH16" s="22">
        <v>6.28</v>
      </c>
      <c r="JI16" s="20">
        <v>6.36</v>
      </c>
      <c r="JJ16" s="23">
        <v>6.47</v>
      </c>
      <c r="JK16" s="24">
        <v>6.45</v>
      </c>
      <c r="JL16" s="24">
        <v>6.36</v>
      </c>
      <c r="JM16" s="17">
        <v>6.32</v>
      </c>
      <c r="JN16" s="17">
        <v>6.3</v>
      </c>
      <c r="JO16" s="17">
        <v>6.35</v>
      </c>
      <c r="JP16" s="17">
        <v>6.44</v>
      </c>
      <c r="JQ16" s="17">
        <v>6.65</v>
      </c>
      <c r="JR16" s="17">
        <v>6.32</v>
      </c>
      <c r="JS16" s="17">
        <v>6.46</v>
      </c>
      <c r="JT16" s="17">
        <v>6.79</v>
      </c>
      <c r="JU16" s="17">
        <v>6.63</v>
      </c>
      <c r="JV16" s="18">
        <v>11.92</v>
      </c>
      <c r="JW16" s="18">
        <v>6.84</v>
      </c>
      <c r="JX16" s="18">
        <v>4.08</v>
      </c>
      <c r="JY16" s="18">
        <v>4.2</v>
      </c>
      <c r="JZ16" s="18">
        <v>3.96</v>
      </c>
      <c r="KA16" s="18">
        <v>6.56</v>
      </c>
      <c r="KB16" s="18">
        <v>7.04</v>
      </c>
      <c r="KC16" s="18">
        <v>6.53</v>
      </c>
      <c r="KD16" s="18">
        <v>6.47</v>
      </c>
      <c r="KE16" s="18">
        <v>6.41</v>
      </c>
      <c r="KF16" s="18">
        <v>6.35</v>
      </c>
      <c r="KG16" s="26">
        <v>7.22</v>
      </c>
      <c r="KH16" s="26">
        <v>6.9</v>
      </c>
      <c r="KI16" s="26">
        <v>5.72</v>
      </c>
      <c r="KJ16" s="26">
        <v>7.02</v>
      </c>
      <c r="KK16" s="26">
        <v>6.13</v>
      </c>
      <c r="KL16" s="18">
        <v>5.46</v>
      </c>
      <c r="KM16" s="26">
        <v>6.38</v>
      </c>
      <c r="KN16" s="18">
        <v>6.49</v>
      </c>
      <c r="KO16" s="18">
        <v>6.18</v>
      </c>
      <c r="KP16" s="18">
        <v>6.53</v>
      </c>
      <c r="KQ16" s="18">
        <v>6.63</v>
      </c>
      <c r="KR16" s="18">
        <v>6.58</v>
      </c>
      <c r="KS16" s="18">
        <v>6.58</v>
      </c>
      <c r="KT16" s="18">
        <v>6.17</v>
      </c>
      <c r="KU16" s="26">
        <v>5.98</v>
      </c>
      <c r="KV16" s="18">
        <v>5.51</v>
      </c>
      <c r="KW16" s="17">
        <v>5.07</v>
      </c>
      <c r="KX16" s="17">
        <v>4.5600000000000005</v>
      </c>
      <c r="KY16" s="18">
        <v>6.2700000000000005</v>
      </c>
      <c r="KZ16" s="17">
        <v>6.49</v>
      </c>
      <c r="LA16" s="17">
        <v>7.14</v>
      </c>
      <c r="LB16" s="17">
        <v>7.67</v>
      </c>
      <c r="LC16" s="17">
        <v>8.4499999999999993</v>
      </c>
      <c r="LD16" s="17">
        <v>7.08</v>
      </c>
      <c r="LE16" s="17">
        <v>6.43</v>
      </c>
      <c r="LF16" s="17">
        <v>6.43</v>
      </c>
      <c r="LG16" s="8">
        <v>5.63</v>
      </c>
      <c r="LH16" s="18">
        <v>6.42</v>
      </c>
      <c r="LI16" s="18">
        <v>6.42</v>
      </c>
      <c r="LJ16" s="18">
        <v>6.07</v>
      </c>
      <c r="LK16" s="18">
        <v>6.17</v>
      </c>
      <c r="LL16" s="18">
        <v>6.1999999999999993</v>
      </c>
      <c r="LM16" s="18">
        <v>6.17</v>
      </c>
      <c r="LN16" s="18">
        <v>6.4</v>
      </c>
      <c r="LO16" s="18">
        <v>6.2899999999999991</v>
      </c>
      <c r="LP16" s="18">
        <v>6.24</v>
      </c>
      <c r="LQ16" s="18">
        <v>6.17</v>
      </c>
      <c r="LR16" s="18">
        <v>6.4499999999999993</v>
      </c>
      <c r="LS16" s="18">
        <v>6.2799999999999994</v>
      </c>
      <c r="LT16" s="18">
        <v>6.3000000000000007</v>
      </c>
      <c r="LU16" s="18">
        <v>5.93</v>
      </c>
      <c r="LV16" s="17">
        <v>6.1</v>
      </c>
      <c r="LW16" s="17">
        <v>6.07</v>
      </c>
      <c r="LX16" s="17">
        <v>5.95</v>
      </c>
      <c r="LY16" s="17">
        <v>6.32</v>
      </c>
      <c r="LZ16" s="17">
        <v>6.45</v>
      </c>
      <c r="MA16" s="17">
        <v>6.49</v>
      </c>
      <c r="MB16" s="17">
        <v>6.66</v>
      </c>
      <c r="MC16" s="17">
        <v>6.72</v>
      </c>
      <c r="MD16" s="17">
        <v>6.74</v>
      </c>
      <c r="ME16" s="17">
        <v>5.82</v>
      </c>
      <c r="MF16" s="17">
        <v>6.5</v>
      </c>
      <c r="MG16" s="17">
        <v>5.2</v>
      </c>
      <c r="MH16" s="17">
        <v>6.3</v>
      </c>
      <c r="MI16" s="17">
        <v>6.27</v>
      </c>
      <c r="MJ16" s="17">
        <v>6.6</v>
      </c>
      <c r="MK16" s="17">
        <v>6.4</v>
      </c>
      <c r="ML16" s="17">
        <v>6.38</v>
      </c>
      <c r="MM16" s="27">
        <v>10.6</v>
      </c>
      <c r="MN16" s="27">
        <f>VLOOKUP(B16,[1]Sheet1!$A:$N,7,0)</f>
        <v>10.45</v>
      </c>
      <c r="MO16" s="27">
        <f>VLOOKUP(B16,[1]Sheet1!$A:$N,8,0)</f>
        <v>14.84</v>
      </c>
      <c r="MP16" s="27">
        <f>VLOOKUP(B16,[1]Sheet1!$A:$N,9,0)</f>
        <v>6.67</v>
      </c>
      <c r="MQ16" s="27">
        <f>VLOOKUP(B16,[1]Sheet1!$A:$N,10,0)</f>
        <v>19.790000000000003</v>
      </c>
      <c r="MR16" s="27">
        <f>VLOOKUP(B16,[1]Sheet1!$A:$N,11,0)</f>
        <v>11.84</v>
      </c>
      <c r="MS16" s="27">
        <f>VLOOKUP(B16,[1]Sheet1!$A:$N,12,0)</f>
        <v>11.67</v>
      </c>
      <c r="MT16" s="27">
        <f>VLOOKUP(B16,[1]Sheet1!$A:$N,13,0)</f>
        <v>12.9</v>
      </c>
      <c r="MU16" s="27">
        <f>VLOOKUP(B16,[1]Sheet1!$A:$N,14,0)</f>
        <v>9.74</v>
      </c>
    </row>
    <row r="17" spans="1:359" s="27" customFormat="1" ht="18.75" customHeight="1" x14ac:dyDescent="0.25">
      <c r="A17" s="8" t="s">
        <v>0</v>
      </c>
      <c r="B17" s="8">
        <v>20185</v>
      </c>
      <c r="C17" s="9" t="s">
        <v>20</v>
      </c>
      <c r="D17" s="10" t="s">
        <v>52</v>
      </c>
      <c r="E17" s="10" t="s">
        <v>53</v>
      </c>
      <c r="F17" s="11" t="s">
        <v>28</v>
      </c>
      <c r="G17" s="39" t="s">
        <v>5</v>
      </c>
      <c r="H17" s="41">
        <v>21.3</v>
      </c>
      <c r="I17" s="13" t="s">
        <v>2</v>
      </c>
      <c r="J17" s="14">
        <v>6.43</v>
      </c>
      <c r="K17" s="15">
        <v>16.585291000000002</v>
      </c>
      <c r="L17" s="15">
        <v>81.003299999999996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2">
        <v>1.17</v>
      </c>
      <c r="GZ17" s="12">
        <v>1.45</v>
      </c>
      <c r="HA17" s="12">
        <v>1.5</v>
      </c>
      <c r="HB17" s="12">
        <v>1.41</v>
      </c>
      <c r="HC17" s="12">
        <v>1.33</v>
      </c>
      <c r="HD17" s="12">
        <v>1.1499999999999999</v>
      </c>
      <c r="HE17" s="12">
        <v>1.03</v>
      </c>
      <c r="HF17" s="12">
        <v>0.25</v>
      </c>
      <c r="HG17" s="12">
        <v>0.78</v>
      </c>
      <c r="HH17" s="12">
        <v>0.94</v>
      </c>
      <c r="HI17" s="12">
        <v>1.17</v>
      </c>
      <c r="HJ17" s="12">
        <v>1.46</v>
      </c>
      <c r="HK17" s="12">
        <v>1.62</v>
      </c>
      <c r="HL17" s="12">
        <v>1.65</v>
      </c>
      <c r="HM17" s="12">
        <v>1.95</v>
      </c>
      <c r="HN17" s="12">
        <v>2.34</v>
      </c>
      <c r="HO17" s="12">
        <v>1.97</v>
      </c>
      <c r="HP17" s="12">
        <v>1.95</v>
      </c>
      <c r="HQ17" s="12">
        <v>1.77</v>
      </c>
      <c r="HR17" s="12">
        <v>1.65</v>
      </c>
      <c r="HS17" s="12">
        <v>1.55</v>
      </c>
      <c r="HT17" s="12">
        <v>1.5</v>
      </c>
      <c r="HU17" s="12">
        <v>1.59</v>
      </c>
      <c r="HV17" s="12">
        <v>2.95</v>
      </c>
      <c r="HW17" s="12">
        <v>2.8</v>
      </c>
      <c r="HX17" s="12">
        <v>2.96</v>
      </c>
      <c r="HY17" s="12">
        <v>3.15</v>
      </c>
      <c r="HZ17" s="12">
        <v>3.04</v>
      </c>
      <c r="IA17" s="12">
        <v>3.09</v>
      </c>
      <c r="IB17" s="12">
        <v>2.52</v>
      </c>
      <c r="IC17" s="12">
        <v>2.5499999999999998</v>
      </c>
      <c r="ID17" s="12">
        <v>2.42</v>
      </c>
      <c r="IE17" s="12">
        <v>2.77</v>
      </c>
      <c r="IF17" s="12">
        <v>2.67</v>
      </c>
      <c r="IG17" s="12">
        <v>2.79</v>
      </c>
      <c r="IH17" s="12">
        <v>3.2</v>
      </c>
      <c r="II17" s="12">
        <v>4</v>
      </c>
      <c r="IJ17" s="12">
        <v>4.83</v>
      </c>
      <c r="IK17" s="12">
        <v>5.25</v>
      </c>
      <c r="IL17" s="12">
        <v>4.7</v>
      </c>
      <c r="IM17" s="12">
        <v>4.2699999999999996</v>
      </c>
      <c r="IN17" s="12">
        <v>4</v>
      </c>
      <c r="IO17" s="12">
        <v>3.46</v>
      </c>
      <c r="IP17" s="12">
        <v>3.14</v>
      </c>
      <c r="IQ17" s="12">
        <v>3.05</v>
      </c>
      <c r="IR17" s="12">
        <v>2.93</v>
      </c>
      <c r="IS17" s="12">
        <v>3.3</v>
      </c>
      <c r="IT17" s="12">
        <v>4.24</v>
      </c>
      <c r="IU17" s="12">
        <v>4.57</v>
      </c>
      <c r="IV17" s="12">
        <v>5.47</v>
      </c>
      <c r="IW17" s="18">
        <v>5.86</v>
      </c>
      <c r="IX17" s="18">
        <v>5.85</v>
      </c>
      <c r="IY17" s="18">
        <v>5.5</v>
      </c>
      <c r="IZ17" s="19">
        <v>4.75</v>
      </c>
      <c r="JA17" s="20">
        <v>3.98</v>
      </c>
      <c r="JB17" s="20">
        <v>3.79</v>
      </c>
      <c r="JC17" s="20">
        <v>5.13</v>
      </c>
      <c r="JD17" s="20">
        <v>5.33</v>
      </c>
      <c r="JE17" s="20">
        <v>5.8</v>
      </c>
      <c r="JF17" s="21">
        <v>6.03</v>
      </c>
      <c r="JG17" s="22">
        <v>6.36</v>
      </c>
      <c r="JH17" s="22">
        <v>6.53</v>
      </c>
      <c r="JI17" s="20">
        <v>7.89</v>
      </c>
      <c r="JJ17" s="23">
        <v>7.76</v>
      </c>
      <c r="JK17" s="24">
        <v>6.57</v>
      </c>
      <c r="JL17" s="24">
        <v>5.39</v>
      </c>
      <c r="JM17" s="17">
        <v>4.5199999999999996</v>
      </c>
      <c r="JN17" s="17">
        <v>4.47</v>
      </c>
      <c r="JO17" s="17">
        <v>4.6399999999999997</v>
      </c>
      <c r="JP17" s="17">
        <v>5.21</v>
      </c>
      <c r="JQ17" s="17">
        <v>5.39</v>
      </c>
      <c r="JR17" s="17">
        <v>6.79</v>
      </c>
      <c r="JS17" s="17">
        <v>6.74</v>
      </c>
      <c r="JT17" s="17">
        <v>6.97</v>
      </c>
      <c r="JU17" s="17">
        <v>7.86</v>
      </c>
      <c r="JV17" s="18">
        <v>8.65</v>
      </c>
      <c r="JW17" s="18">
        <v>8.6999999999999993</v>
      </c>
      <c r="JX17" s="18">
        <v>7.57</v>
      </c>
      <c r="JY17" s="18">
        <v>5.95</v>
      </c>
      <c r="JZ17" s="18">
        <v>4.8899999999999997</v>
      </c>
      <c r="KA17" s="18">
        <v>4.5599999999999996</v>
      </c>
      <c r="KB17" s="18">
        <v>5.15</v>
      </c>
      <c r="KC17" s="18">
        <v>5.89</v>
      </c>
      <c r="KD17" s="18">
        <v>6.32</v>
      </c>
      <c r="KE17" s="18">
        <v>6.75</v>
      </c>
      <c r="KF17" s="18">
        <v>7.18</v>
      </c>
      <c r="KG17" s="26">
        <v>8.5399999999999991</v>
      </c>
      <c r="KH17" s="26">
        <v>8.06</v>
      </c>
      <c r="KI17" s="26">
        <v>7.62</v>
      </c>
      <c r="KJ17" s="26">
        <v>6.65</v>
      </c>
      <c r="KK17" s="26">
        <v>4.4400000000000004</v>
      </c>
      <c r="KL17" s="18">
        <v>4.49</v>
      </c>
      <c r="KM17" s="26">
        <v>4.95</v>
      </c>
      <c r="KN17" s="18">
        <v>4.55</v>
      </c>
      <c r="KO17" s="18">
        <v>5.39</v>
      </c>
      <c r="KP17" s="18">
        <v>5.4399999999999995</v>
      </c>
      <c r="KQ17" s="18">
        <v>5.49</v>
      </c>
      <c r="KR17" s="18">
        <v>8.74</v>
      </c>
      <c r="KS17" s="18">
        <v>8.39</v>
      </c>
      <c r="KT17" s="18">
        <v>8.18</v>
      </c>
      <c r="KU17" s="26">
        <v>7.76</v>
      </c>
      <c r="KV17" s="18">
        <v>7.379999999999999</v>
      </c>
      <c r="KW17" s="17">
        <v>6.5</v>
      </c>
      <c r="KX17" s="17">
        <v>6.12</v>
      </c>
      <c r="KY17" s="18">
        <v>6.2</v>
      </c>
      <c r="KZ17" s="17">
        <v>6.87</v>
      </c>
      <c r="LA17" s="17">
        <v>7.35</v>
      </c>
      <c r="LB17" s="17">
        <v>7.8000000000000007</v>
      </c>
      <c r="LC17" s="17">
        <v>8.7200000000000006</v>
      </c>
      <c r="LD17" s="17">
        <v>10.89</v>
      </c>
      <c r="LE17" s="17">
        <v>9.77</v>
      </c>
      <c r="LF17" s="17">
        <v>9.34</v>
      </c>
      <c r="LG17" s="18">
        <v>8.68</v>
      </c>
      <c r="LH17" s="18">
        <v>7.49</v>
      </c>
      <c r="LI17" s="18">
        <v>6.2</v>
      </c>
      <c r="LJ17" s="18">
        <v>5.54</v>
      </c>
      <c r="LK17" s="18">
        <v>6.05</v>
      </c>
      <c r="LL17" s="18">
        <v>5.8599999999999994</v>
      </c>
      <c r="LM17" s="18">
        <v>6.82</v>
      </c>
      <c r="LN17" s="18">
        <v>7.9399999999999995</v>
      </c>
      <c r="LO17" s="18">
        <v>8.24</v>
      </c>
      <c r="LP17" s="18">
        <v>7.1099999999999994</v>
      </c>
      <c r="LQ17" s="18">
        <v>7.52</v>
      </c>
      <c r="LR17" s="18">
        <v>8.08</v>
      </c>
      <c r="LS17" s="18">
        <v>7.379999999999999</v>
      </c>
      <c r="LT17" s="18">
        <v>6.9899999999999993</v>
      </c>
      <c r="LU17" s="18">
        <v>5.76</v>
      </c>
      <c r="LV17" s="17">
        <v>5.9799999999999995</v>
      </c>
      <c r="LW17" s="17">
        <v>6.7899999999999991</v>
      </c>
      <c r="LX17" s="17">
        <v>6.57</v>
      </c>
      <c r="LY17" s="17">
        <v>6.57</v>
      </c>
      <c r="LZ17" s="17">
        <v>6.7100000000000009</v>
      </c>
      <c r="MA17" s="17">
        <v>9.4700000000000006</v>
      </c>
      <c r="MB17" s="17">
        <v>9.2899999999999991</v>
      </c>
      <c r="MC17" s="17">
        <v>9.4699999999999989</v>
      </c>
      <c r="MD17" s="17">
        <v>9.07</v>
      </c>
      <c r="ME17" s="17">
        <v>8.6199999999999992</v>
      </c>
      <c r="MF17" s="17">
        <v>8.27</v>
      </c>
      <c r="MG17" s="17">
        <v>6.77</v>
      </c>
      <c r="MH17" s="17">
        <v>5.3699999999999992</v>
      </c>
      <c r="MI17" s="17">
        <v>5.8800000000000008</v>
      </c>
      <c r="MJ17" s="17">
        <v>5.9700000000000006</v>
      </c>
      <c r="MK17" s="17">
        <v>7.68</v>
      </c>
      <c r="ML17" s="17">
        <v>7.9</v>
      </c>
      <c r="MM17" s="27">
        <v>9.4700000000000006</v>
      </c>
      <c r="MN17" s="27">
        <f>VLOOKUP(B17,[1]Sheet1!$A:$N,7,0)</f>
        <v>10.82</v>
      </c>
      <c r="MO17" s="27">
        <f>VLOOKUP(B17,[1]Sheet1!$A:$N,8,0)</f>
        <v>8.27</v>
      </c>
      <c r="MP17" s="27">
        <f>VLOOKUP(B17,[1]Sheet1!$A:$N,9,0)</f>
        <v>7.52</v>
      </c>
      <c r="MQ17" s="27">
        <f>VLOOKUP(B17,[1]Sheet1!$A:$N,10,0)</f>
        <v>7.34</v>
      </c>
      <c r="MR17" s="27">
        <f>VLOOKUP(B17,[1]Sheet1!$A:$N,11,0)</f>
        <v>6.17</v>
      </c>
      <c r="MS17" s="27">
        <f>VLOOKUP(B17,[1]Sheet1!$A:$N,12,0)</f>
        <v>6.1</v>
      </c>
      <c r="MT17" s="27">
        <f>VLOOKUP(B17,[1]Sheet1!$A:$N,13,0)</f>
        <v>5.22</v>
      </c>
      <c r="MU17" s="27">
        <f>VLOOKUP(B17,[1]Sheet1!$A:$N,14,0)</f>
        <v>5.2799999999999994</v>
      </c>
    </row>
    <row r="18" spans="1:359" s="27" customFormat="1" ht="18.75" customHeight="1" x14ac:dyDescent="0.25">
      <c r="A18" s="8" t="s">
        <v>0</v>
      </c>
      <c r="B18" s="8">
        <v>20186</v>
      </c>
      <c r="C18" s="9" t="s">
        <v>20</v>
      </c>
      <c r="D18" s="10" t="s">
        <v>52</v>
      </c>
      <c r="E18" s="10" t="s">
        <v>54</v>
      </c>
      <c r="F18" s="11" t="s">
        <v>38</v>
      </c>
      <c r="G18" s="39" t="s">
        <v>5</v>
      </c>
      <c r="H18" s="41">
        <v>63</v>
      </c>
      <c r="I18" s="13" t="s">
        <v>55</v>
      </c>
      <c r="J18" s="28">
        <v>40.5</v>
      </c>
      <c r="K18" s="15">
        <v>16.658760000000001</v>
      </c>
      <c r="L18" s="15">
        <v>80.900445000000005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2">
        <v>7.07</v>
      </c>
      <c r="GZ18" s="12">
        <v>9.75</v>
      </c>
      <c r="HA18" s="12">
        <v>11.65</v>
      </c>
      <c r="HB18" s="12">
        <v>11.28</v>
      </c>
      <c r="HC18" s="12">
        <v>7</v>
      </c>
      <c r="HD18" s="12">
        <v>6.17</v>
      </c>
      <c r="HE18" s="12">
        <v>5.5</v>
      </c>
      <c r="HF18" s="12">
        <v>1.65</v>
      </c>
      <c r="HG18" s="12">
        <v>1.89</v>
      </c>
      <c r="HH18" s="12">
        <v>2.2599999999999998</v>
      </c>
      <c r="HI18" s="12">
        <v>3.39</v>
      </c>
      <c r="HJ18" s="12">
        <v>4.6500000000000004</v>
      </c>
      <c r="HK18" s="12">
        <v>5.55</v>
      </c>
      <c r="HL18" s="12">
        <v>8.9499999999999993</v>
      </c>
      <c r="HM18" s="12">
        <v>9.98</v>
      </c>
      <c r="HN18" s="12">
        <v>11.98</v>
      </c>
      <c r="HO18" s="12">
        <v>12.25</v>
      </c>
      <c r="HP18" s="12">
        <v>10.99</v>
      </c>
      <c r="HQ18" s="12">
        <v>8.25</v>
      </c>
      <c r="HR18" s="12">
        <v>8.98</v>
      </c>
      <c r="HS18" s="12">
        <v>10.85</v>
      </c>
      <c r="HT18" s="12">
        <v>11.4</v>
      </c>
      <c r="HU18" s="12">
        <v>11.64</v>
      </c>
      <c r="HV18" s="12">
        <v>13.45</v>
      </c>
      <c r="HW18" s="12">
        <v>14.35</v>
      </c>
      <c r="HX18" s="12">
        <v>9.64</v>
      </c>
      <c r="HY18" s="12">
        <v>18</v>
      </c>
      <c r="HZ18" s="12">
        <v>17.66</v>
      </c>
      <c r="IA18" s="12">
        <v>15.53</v>
      </c>
      <c r="IB18" s="12">
        <v>16.079999999999998</v>
      </c>
      <c r="IC18" s="12">
        <v>14.75</v>
      </c>
      <c r="ID18" s="12">
        <v>12.27</v>
      </c>
      <c r="IE18" s="12">
        <v>14.47</v>
      </c>
      <c r="IF18" s="12">
        <v>17.36</v>
      </c>
      <c r="IG18" s="12">
        <v>18.760000000000002</v>
      </c>
      <c r="IH18" s="12">
        <v>23.28</v>
      </c>
      <c r="II18" s="12">
        <v>23.6</v>
      </c>
      <c r="IJ18" s="12">
        <v>25.77</v>
      </c>
      <c r="IK18" s="12">
        <v>25.01</v>
      </c>
      <c r="IL18" s="12">
        <v>18.14</v>
      </c>
      <c r="IM18" s="12">
        <v>14.39</v>
      </c>
      <c r="IN18" s="12">
        <v>14.27</v>
      </c>
      <c r="IO18" s="12">
        <v>13.62</v>
      </c>
      <c r="IP18" s="12">
        <v>13.65</v>
      </c>
      <c r="IQ18" s="12">
        <v>18.920000000000002</v>
      </c>
      <c r="IR18" s="12">
        <v>20.54</v>
      </c>
      <c r="IS18" s="12">
        <v>24.05</v>
      </c>
      <c r="IT18" s="12">
        <v>25.32</v>
      </c>
      <c r="IU18" s="12">
        <v>27.14</v>
      </c>
      <c r="IV18" s="12">
        <v>27.66</v>
      </c>
      <c r="IW18" s="18">
        <v>28.79</v>
      </c>
      <c r="IX18" s="18">
        <v>28.66</v>
      </c>
      <c r="IY18" s="18">
        <v>24.83</v>
      </c>
      <c r="IZ18" s="19">
        <v>24.25</v>
      </c>
      <c r="JA18" s="20">
        <v>22.58</v>
      </c>
      <c r="JB18" s="20">
        <v>17.39</v>
      </c>
      <c r="JC18" s="20">
        <v>18.23</v>
      </c>
      <c r="JD18" s="20">
        <v>22.63</v>
      </c>
      <c r="JE18" s="20">
        <v>27.16</v>
      </c>
      <c r="JF18" s="21">
        <v>30.25</v>
      </c>
      <c r="JG18" s="22">
        <v>30.01</v>
      </c>
      <c r="JH18" s="22">
        <v>30.35</v>
      </c>
      <c r="JI18" s="20">
        <v>34.4</v>
      </c>
      <c r="JJ18" s="23">
        <v>32.479999999999997</v>
      </c>
      <c r="JK18" s="24">
        <v>23.39</v>
      </c>
      <c r="JL18" s="24">
        <v>16.309999999999999</v>
      </c>
      <c r="JM18" s="17">
        <v>13.98</v>
      </c>
      <c r="JN18" s="17">
        <v>15.56</v>
      </c>
      <c r="JO18" s="17">
        <v>18.100000000000001</v>
      </c>
      <c r="JP18" s="17">
        <v>18.46</v>
      </c>
      <c r="JQ18" s="17">
        <v>20.52</v>
      </c>
      <c r="JR18" s="17">
        <v>22.88</v>
      </c>
      <c r="JS18" s="17">
        <v>24.55</v>
      </c>
      <c r="JT18" s="17">
        <v>25.58</v>
      </c>
      <c r="JU18" s="17">
        <v>29.21</v>
      </c>
      <c r="JV18" s="18">
        <v>26.94</v>
      </c>
      <c r="JW18" s="18">
        <v>25.06</v>
      </c>
      <c r="JX18" s="18">
        <v>20.6</v>
      </c>
      <c r="JY18" s="18">
        <v>18.739999999999998</v>
      </c>
      <c r="JZ18" s="18">
        <v>14.89</v>
      </c>
      <c r="KA18" s="18">
        <v>15.92</v>
      </c>
      <c r="KB18" s="18">
        <v>16.149999999999999</v>
      </c>
      <c r="KC18" s="18">
        <v>23.76</v>
      </c>
      <c r="KD18" s="18">
        <v>28.24</v>
      </c>
      <c r="KE18" s="18">
        <v>32.72</v>
      </c>
      <c r="KF18" s="2"/>
      <c r="KG18" s="26">
        <v>32.56</v>
      </c>
      <c r="KH18" s="26">
        <v>27.85</v>
      </c>
      <c r="KI18" s="26">
        <v>17.579999999999998</v>
      </c>
      <c r="KJ18" s="26">
        <v>13.68</v>
      </c>
      <c r="KK18" s="26">
        <v>8.0399999999999991</v>
      </c>
      <c r="KL18" s="18">
        <v>2.54</v>
      </c>
      <c r="KM18" s="26">
        <v>2.6999999999999997</v>
      </c>
      <c r="KN18" s="18">
        <v>3.73</v>
      </c>
      <c r="KO18" s="18">
        <v>5.0600000000000005</v>
      </c>
      <c r="KP18" s="18">
        <v>7.89</v>
      </c>
      <c r="KQ18" s="18">
        <v>7.4799999999999995</v>
      </c>
      <c r="KR18" s="18">
        <v>7.7400000000000011</v>
      </c>
      <c r="KS18" s="18">
        <v>12</v>
      </c>
      <c r="KT18" s="18">
        <v>11.34</v>
      </c>
      <c r="KU18" s="26">
        <v>7.0100000000000007</v>
      </c>
      <c r="KV18" s="18">
        <v>6.79</v>
      </c>
      <c r="KW18" s="17">
        <v>5.16</v>
      </c>
      <c r="KX18" s="17">
        <v>4.82</v>
      </c>
      <c r="KY18" s="18">
        <v>3.86</v>
      </c>
      <c r="KZ18" s="17">
        <v>5.58</v>
      </c>
      <c r="LA18" s="17">
        <v>5.67</v>
      </c>
      <c r="LB18" s="17">
        <v>10.559999999999999</v>
      </c>
      <c r="LC18" s="17">
        <v>11.09</v>
      </c>
      <c r="LD18" s="17">
        <v>14.45</v>
      </c>
      <c r="LE18" s="17">
        <v>15.059999999999999</v>
      </c>
      <c r="LF18" s="17">
        <v>15.059999999999999</v>
      </c>
      <c r="LG18" s="18">
        <v>14.42</v>
      </c>
      <c r="LH18" s="18">
        <v>9.26</v>
      </c>
      <c r="LI18" s="18">
        <v>7.2</v>
      </c>
      <c r="LJ18" s="18">
        <v>4.91</v>
      </c>
      <c r="LK18" s="18">
        <v>6.4</v>
      </c>
      <c r="LL18" s="18">
        <v>9.85</v>
      </c>
      <c r="LM18" s="18">
        <v>13.149999999999999</v>
      </c>
      <c r="LN18" s="18">
        <v>16.53</v>
      </c>
      <c r="LO18" s="18">
        <v>16.759999999999998</v>
      </c>
      <c r="LP18" s="18">
        <v>16.09</v>
      </c>
      <c r="LQ18" s="18">
        <v>14.79</v>
      </c>
      <c r="LR18" s="18">
        <v>16.04</v>
      </c>
      <c r="LS18" s="18">
        <v>10.959999999999999</v>
      </c>
      <c r="LT18" s="18">
        <v>10.87</v>
      </c>
      <c r="LU18" s="18">
        <v>9.57</v>
      </c>
      <c r="LV18" s="17">
        <v>13.24</v>
      </c>
      <c r="LW18" s="17">
        <v>15</v>
      </c>
      <c r="LX18" s="17">
        <v>8.6399999999999988</v>
      </c>
      <c r="LY18" s="17">
        <v>11.319999999999999</v>
      </c>
      <c r="LZ18" s="17">
        <v>12.63</v>
      </c>
      <c r="MA18" s="17">
        <v>16.04</v>
      </c>
      <c r="MB18" s="17">
        <v>17.970000000000002</v>
      </c>
      <c r="MC18" s="17">
        <v>18.32</v>
      </c>
      <c r="MD18" s="17">
        <v>17.21</v>
      </c>
      <c r="ME18" s="17">
        <v>9.7399999999999984</v>
      </c>
      <c r="MF18" s="17">
        <v>10.34</v>
      </c>
      <c r="MG18" s="17">
        <v>3.13</v>
      </c>
      <c r="MH18" s="17">
        <v>1.9700000000000002</v>
      </c>
      <c r="MI18" s="17">
        <v>3.29</v>
      </c>
      <c r="MJ18" s="17">
        <v>5.45</v>
      </c>
      <c r="MK18" s="17">
        <v>8.629999999999999</v>
      </c>
      <c r="ML18" s="17">
        <v>11.44</v>
      </c>
      <c r="MM18" s="27">
        <v>13.89</v>
      </c>
      <c r="MN18" s="27">
        <f>VLOOKUP(B18,[1]Sheet1!$A:$N,7,0)</f>
        <v>13.84</v>
      </c>
      <c r="MO18" s="27">
        <f>VLOOKUP(B18,[1]Sheet1!$A:$N,8,0)</f>
        <v>10.34</v>
      </c>
      <c r="MP18" s="27">
        <f>VLOOKUP(B18,[1]Sheet1!$A:$N,9,0)</f>
        <v>12.94</v>
      </c>
      <c r="MQ18" s="27">
        <f>VLOOKUP(B18,[1]Sheet1!$A:$N,10,0)</f>
        <v>11.52</v>
      </c>
      <c r="MR18" s="27">
        <f>VLOOKUP(B18,[1]Sheet1!$A:$N,11,0)</f>
        <v>7.8500000000000005</v>
      </c>
      <c r="MS18" s="27">
        <f>VLOOKUP(B18,[1]Sheet1!$A:$N,12,0)</f>
        <v>4.2</v>
      </c>
      <c r="MT18" s="27">
        <f>VLOOKUP(B18,[1]Sheet1!$A:$N,13,0)</f>
        <v>3.77</v>
      </c>
      <c r="MU18" s="27">
        <f>VLOOKUP(B18,[1]Sheet1!$A:$N,14,0)</f>
        <v>3.8600000000000003</v>
      </c>
    </row>
    <row r="19" spans="1:359" s="27" customFormat="1" ht="18.75" customHeight="1" x14ac:dyDescent="0.25">
      <c r="A19" s="8" t="s">
        <v>0</v>
      </c>
      <c r="B19" s="8">
        <v>20187</v>
      </c>
      <c r="C19" s="9" t="s">
        <v>20</v>
      </c>
      <c r="D19" s="10" t="s">
        <v>52</v>
      </c>
      <c r="E19" s="10" t="s">
        <v>56</v>
      </c>
      <c r="F19" s="11" t="s">
        <v>28</v>
      </c>
      <c r="G19" s="39" t="s">
        <v>5</v>
      </c>
      <c r="H19" s="41">
        <v>50</v>
      </c>
      <c r="I19" s="13" t="s">
        <v>55</v>
      </c>
      <c r="J19" s="28">
        <v>18.760000000000002</v>
      </c>
      <c r="K19" s="15">
        <v>16.611373</v>
      </c>
      <c r="L19" s="15">
        <v>80.912501000000006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2"/>
      <c r="GZ19" s="12">
        <v>9.5399999999999991</v>
      </c>
      <c r="HA19" s="12">
        <v>11.39</v>
      </c>
      <c r="HB19" s="12">
        <v>10.81</v>
      </c>
      <c r="HC19" s="12">
        <v>7.24</v>
      </c>
      <c r="HD19" s="12">
        <v>5.78</v>
      </c>
      <c r="HE19" s="12">
        <v>5.8</v>
      </c>
      <c r="HF19" s="12">
        <v>1.74</v>
      </c>
      <c r="HG19" s="12">
        <v>1.29</v>
      </c>
      <c r="HH19" s="12">
        <v>2.5</v>
      </c>
      <c r="HI19" s="12">
        <v>3.09</v>
      </c>
      <c r="HJ19" s="12">
        <v>3.85</v>
      </c>
      <c r="HK19" s="12">
        <v>4.5199999999999996</v>
      </c>
      <c r="HL19" s="12">
        <v>6.81</v>
      </c>
      <c r="HM19" s="12">
        <v>8.74</v>
      </c>
      <c r="HN19" s="12">
        <v>12.36</v>
      </c>
      <c r="HO19" s="12">
        <v>7.06</v>
      </c>
      <c r="HP19" s="12">
        <v>8.56</v>
      </c>
      <c r="HQ19" s="12">
        <v>6.34</v>
      </c>
      <c r="HR19" s="12">
        <v>6.44</v>
      </c>
      <c r="HS19" s="12">
        <v>7.54</v>
      </c>
      <c r="HT19" s="12">
        <v>5.99</v>
      </c>
      <c r="HU19" s="12">
        <v>11.41</v>
      </c>
      <c r="HV19" s="12">
        <v>12.43</v>
      </c>
      <c r="HW19" s="12">
        <v>13.79</v>
      </c>
      <c r="HX19" s="12">
        <v>7.83</v>
      </c>
      <c r="HY19" s="12">
        <v>16.29</v>
      </c>
      <c r="HZ19" s="12">
        <v>13.41</v>
      </c>
      <c r="IA19" s="12">
        <v>13.63</v>
      </c>
      <c r="IB19" s="12">
        <v>13.16</v>
      </c>
      <c r="IC19" s="12">
        <v>13.63</v>
      </c>
      <c r="ID19" s="12">
        <v>13.65</v>
      </c>
      <c r="IE19" s="12">
        <v>14.18</v>
      </c>
      <c r="IF19" s="12">
        <v>10.44</v>
      </c>
      <c r="IG19" s="12">
        <v>10.76</v>
      </c>
      <c r="IH19" s="12">
        <v>13.6</v>
      </c>
      <c r="II19" s="12">
        <v>16.14</v>
      </c>
      <c r="IJ19" s="12">
        <v>17.82</v>
      </c>
      <c r="IK19" s="12">
        <v>17.78</v>
      </c>
      <c r="IL19" s="12">
        <v>13.78</v>
      </c>
      <c r="IM19" s="12">
        <v>16.344999999999999</v>
      </c>
      <c r="IN19" s="12">
        <v>16.02</v>
      </c>
      <c r="IO19" s="12">
        <v>7.58</v>
      </c>
      <c r="IP19" s="12">
        <v>6.36</v>
      </c>
      <c r="IQ19" s="12">
        <v>5.0199999999999996</v>
      </c>
      <c r="IR19" s="12">
        <v>5.39</v>
      </c>
      <c r="IS19" s="12">
        <v>7.22</v>
      </c>
      <c r="IT19" s="12">
        <v>10.07</v>
      </c>
      <c r="IU19" s="12">
        <v>13.16</v>
      </c>
      <c r="IV19" s="12">
        <v>15.97</v>
      </c>
      <c r="IW19" s="18">
        <v>18.66</v>
      </c>
      <c r="IX19" s="18">
        <v>18.54</v>
      </c>
      <c r="IY19" s="18">
        <v>15.67</v>
      </c>
      <c r="IZ19" s="19">
        <v>11.89</v>
      </c>
      <c r="JA19" s="20">
        <v>6.14</v>
      </c>
      <c r="JB19" s="20">
        <v>4.41</v>
      </c>
      <c r="JC19" s="20">
        <v>4.09</v>
      </c>
      <c r="JD19" s="20">
        <v>5.2</v>
      </c>
      <c r="JE19" s="20">
        <v>7.15</v>
      </c>
      <c r="JF19" s="21">
        <v>10.4</v>
      </c>
      <c r="JG19" s="22">
        <v>13.3</v>
      </c>
      <c r="JH19" s="22">
        <v>16.52</v>
      </c>
      <c r="JI19" s="20">
        <v>19.53</v>
      </c>
      <c r="JJ19" s="23">
        <v>20.54</v>
      </c>
      <c r="JK19" s="24">
        <v>16.559999999999999</v>
      </c>
      <c r="JL19" s="24">
        <v>6.13</v>
      </c>
      <c r="JM19" s="17">
        <v>4.91</v>
      </c>
      <c r="JN19" s="17">
        <v>4.46</v>
      </c>
      <c r="JO19" s="17">
        <v>4.51</v>
      </c>
      <c r="JP19" s="17">
        <v>4.08</v>
      </c>
      <c r="JQ19" s="17">
        <v>5.62</v>
      </c>
      <c r="JR19" s="17">
        <v>7.89</v>
      </c>
      <c r="JS19" s="17">
        <v>10.31</v>
      </c>
      <c r="JT19" s="17">
        <v>13.72</v>
      </c>
      <c r="JU19" s="17">
        <v>17.72</v>
      </c>
      <c r="JV19" s="18">
        <v>17.41</v>
      </c>
      <c r="JW19" s="18">
        <v>17.71</v>
      </c>
      <c r="JX19" s="18">
        <v>9.99</v>
      </c>
      <c r="JY19" s="18">
        <v>6.64</v>
      </c>
      <c r="JZ19" s="18">
        <v>6.08</v>
      </c>
      <c r="KA19" s="18">
        <v>6.41</v>
      </c>
      <c r="KB19" s="18">
        <v>7</v>
      </c>
      <c r="KC19" s="18">
        <v>7.43</v>
      </c>
      <c r="KD19" s="18">
        <v>12.21</v>
      </c>
      <c r="KE19" s="18">
        <v>16.989999999999998</v>
      </c>
      <c r="KF19" s="18">
        <v>21.77</v>
      </c>
      <c r="KG19" s="26">
        <v>19.8</v>
      </c>
      <c r="KH19" s="26">
        <v>19.920000000000002</v>
      </c>
      <c r="KI19" s="26">
        <v>12.51</v>
      </c>
      <c r="KJ19" s="26">
        <v>10.65</v>
      </c>
      <c r="KK19" s="26">
        <v>6.5</v>
      </c>
      <c r="KL19" s="18">
        <v>1.4700000000000002</v>
      </c>
      <c r="KM19" s="26">
        <v>2.68</v>
      </c>
      <c r="KN19" s="18">
        <v>3.32</v>
      </c>
      <c r="KO19" s="18">
        <v>3.9600000000000004</v>
      </c>
      <c r="KP19" s="18">
        <v>6.8800000000000008</v>
      </c>
      <c r="KQ19" s="18">
        <v>8.3800000000000008</v>
      </c>
      <c r="KR19" s="18">
        <v>12.13</v>
      </c>
      <c r="KS19" s="18">
        <v>12.63</v>
      </c>
      <c r="KT19" s="18">
        <v>12.42</v>
      </c>
      <c r="KU19" s="26">
        <v>10.57</v>
      </c>
      <c r="KV19" s="18">
        <v>9.48</v>
      </c>
      <c r="KW19" s="17">
        <v>7.9400000000000013</v>
      </c>
      <c r="KX19" s="17">
        <v>7.5200000000000014</v>
      </c>
      <c r="KY19" s="18">
        <v>3.6700000000000004</v>
      </c>
      <c r="KZ19" s="17">
        <v>4.74</v>
      </c>
      <c r="LA19" s="17">
        <v>4.49</v>
      </c>
      <c r="LB19" s="17">
        <v>4.7300000000000004</v>
      </c>
      <c r="LC19" s="17">
        <v>5.49</v>
      </c>
      <c r="LD19" s="17">
        <v>13.360000000000001</v>
      </c>
      <c r="LE19" s="17">
        <v>14.16</v>
      </c>
      <c r="LF19" s="17">
        <v>15.910000000000002</v>
      </c>
      <c r="LG19" s="18">
        <v>15.22</v>
      </c>
      <c r="LH19" s="18">
        <v>8.56</v>
      </c>
      <c r="LI19" s="18">
        <v>8.17</v>
      </c>
      <c r="LJ19" s="18">
        <v>6.09</v>
      </c>
      <c r="LK19" s="18">
        <v>7.26</v>
      </c>
      <c r="LL19" s="18">
        <v>7.48</v>
      </c>
      <c r="LM19" s="18">
        <v>8.8000000000000007</v>
      </c>
      <c r="LN19" s="18">
        <v>10.48</v>
      </c>
      <c r="LO19" s="18">
        <v>11.01</v>
      </c>
      <c r="LP19" s="18">
        <v>13.34</v>
      </c>
      <c r="LQ19" s="18">
        <v>12.25</v>
      </c>
      <c r="LR19" s="18">
        <v>15.840000000000002</v>
      </c>
      <c r="LS19" s="18">
        <v>8.8600000000000012</v>
      </c>
      <c r="LT19" s="18">
        <v>11.41</v>
      </c>
      <c r="LU19" s="18">
        <v>7.4600000000000009</v>
      </c>
      <c r="LV19" s="17">
        <v>8.82</v>
      </c>
      <c r="LW19" s="17">
        <v>9.58</v>
      </c>
      <c r="LX19" s="17">
        <v>5.7399999999999993</v>
      </c>
      <c r="LY19" s="17">
        <v>6.81</v>
      </c>
      <c r="LZ19" s="17">
        <v>8.89</v>
      </c>
      <c r="MA19" s="17">
        <v>12.64</v>
      </c>
      <c r="MB19" s="17">
        <v>15.81</v>
      </c>
      <c r="MC19" s="17">
        <v>15.85</v>
      </c>
      <c r="MD19" s="17">
        <v>14.77</v>
      </c>
      <c r="ME19" s="17">
        <v>12.69</v>
      </c>
      <c r="MF19" s="17">
        <v>12.73</v>
      </c>
      <c r="MG19" s="17">
        <v>4.1199999999999992</v>
      </c>
      <c r="MH19" s="17">
        <v>3</v>
      </c>
      <c r="MI19" s="17">
        <v>4.0199999999999996</v>
      </c>
      <c r="MJ19" s="17">
        <v>4.6899999999999995</v>
      </c>
      <c r="MK19" s="17">
        <v>5.68</v>
      </c>
      <c r="ML19" s="17">
        <v>6.9499999999999993</v>
      </c>
      <c r="MM19" s="27">
        <v>10.01</v>
      </c>
      <c r="MN19" s="27">
        <f>VLOOKUP(B19,[1]Sheet1!$A:$N,7,0)</f>
        <v>14.07</v>
      </c>
      <c r="MO19" s="27">
        <f>VLOOKUP(B19,[1]Sheet1!$A:$N,8,0)</f>
        <v>12.73</v>
      </c>
      <c r="MP19" s="27">
        <f>VLOOKUP(B19,[1]Sheet1!$A:$N,9,0)</f>
        <v>14.44</v>
      </c>
      <c r="MQ19" s="27">
        <f>VLOOKUP(B19,[1]Sheet1!$A:$N,10,0)</f>
        <v>13.469999999999999</v>
      </c>
      <c r="MR19" s="27">
        <f>VLOOKUP(B19,[1]Sheet1!$A:$N,11,0)</f>
        <v>10.75</v>
      </c>
      <c r="MS19" s="27">
        <f>VLOOKUP(B19,[1]Sheet1!$A:$N,12,0)</f>
        <v>7.13</v>
      </c>
      <c r="MT19" s="27">
        <f>VLOOKUP(B19,[1]Sheet1!$A:$N,13,0)</f>
        <v>5.22</v>
      </c>
      <c r="MU19" s="27">
        <f>VLOOKUP(B19,[1]Sheet1!$A:$N,14,0)</f>
        <v>4.1999999999999993</v>
      </c>
    </row>
    <row r="20" spans="1:359" s="27" customFormat="1" ht="18.75" customHeight="1" x14ac:dyDescent="0.25">
      <c r="A20" s="8" t="s">
        <v>0</v>
      </c>
      <c r="B20" s="8">
        <v>20188</v>
      </c>
      <c r="C20" s="9" t="s">
        <v>20</v>
      </c>
      <c r="D20" s="10" t="s">
        <v>57</v>
      </c>
      <c r="E20" s="10" t="s">
        <v>57</v>
      </c>
      <c r="F20" s="11" t="s">
        <v>46</v>
      </c>
      <c r="G20" s="39" t="s">
        <v>5</v>
      </c>
      <c r="H20" s="41">
        <v>25</v>
      </c>
      <c r="I20" s="13" t="s">
        <v>2</v>
      </c>
      <c r="J20" s="28">
        <v>6.23</v>
      </c>
      <c r="K20" s="15">
        <v>16.119385999999999</v>
      </c>
      <c r="L20" s="15">
        <v>80.927193000000003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2">
        <v>1.91</v>
      </c>
      <c r="GZ20" s="12">
        <v>2.5299999999999998</v>
      </c>
      <c r="HA20" s="12">
        <v>2.86</v>
      </c>
      <c r="HB20" s="12">
        <v>3.13</v>
      </c>
      <c r="HC20" s="12">
        <v>2.95</v>
      </c>
      <c r="HD20" s="12">
        <v>1.57</v>
      </c>
      <c r="HE20" s="12">
        <v>0.93</v>
      </c>
      <c r="HF20" s="12">
        <v>0.73</v>
      </c>
      <c r="HG20" s="12">
        <v>0.57999999999999996</v>
      </c>
      <c r="HH20" s="12">
        <v>0.86</v>
      </c>
      <c r="HI20" s="12">
        <v>1.17</v>
      </c>
      <c r="HJ20" s="12">
        <v>1.68</v>
      </c>
      <c r="HK20" s="12">
        <v>1.7</v>
      </c>
      <c r="HL20" s="12">
        <v>2.0299999999999998</v>
      </c>
      <c r="HM20" s="12">
        <v>2.52</v>
      </c>
      <c r="HN20" s="12">
        <v>2.99</v>
      </c>
      <c r="HO20" s="12">
        <v>3.06</v>
      </c>
      <c r="HP20" s="12">
        <v>3.5</v>
      </c>
      <c r="HQ20" s="12">
        <v>1.3</v>
      </c>
      <c r="HR20" s="12">
        <v>0.86</v>
      </c>
      <c r="HS20" s="12">
        <v>0.95</v>
      </c>
      <c r="HT20" s="12">
        <v>1.25</v>
      </c>
      <c r="HU20" s="12">
        <v>1.6</v>
      </c>
      <c r="HV20" s="12">
        <v>1.87</v>
      </c>
      <c r="HW20" s="12">
        <v>2.02</v>
      </c>
      <c r="HX20" s="12">
        <v>2.74</v>
      </c>
      <c r="HY20" s="12">
        <v>3.16</v>
      </c>
      <c r="HZ20" s="12">
        <v>1.45</v>
      </c>
      <c r="IA20" s="12">
        <v>1.69</v>
      </c>
      <c r="IB20" s="12">
        <v>14.59</v>
      </c>
      <c r="IC20" s="12">
        <v>1.9</v>
      </c>
      <c r="ID20" s="12">
        <v>1.56</v>
      </c>
      <c r="IE20" s="12">
        <v>1.6</v>
      </c>
      <c r="IF20" s="12">
        <v>1.35</v>
      </c>
      <c r="IG20" s="12">
        <v>2.2999999999999998</v>
      </c>
      <c r="IH20" s="12">
        <v>2.61</v>
      </c>
      <c r="II20" s="12">
        <v>3.07</v>
      </c>
      <c r="IJ20" s="12">
        <v>3.41</v>
      </c>
      <c r="IK20" s="12">
        <v>3.9</v>
      </c>
      <c r="IL20" s="12">
        <v>1.82</v>
      </c>
      <c r="IM20" s="12">
        <v>2.35</v>
      </c>
      <c r="IN20" s="12">
        <v>1.84</v>
      </c>
      <c r="IO20" s="12">
        <v>1.75</v>
      </c>
      <c r="IP20" s="12">
        <v>0.91</v>
      </c>
      <c r="IQ20" s="12">
        <v>1.08</v>
      </c>
      <c r="IR20" s="12">
        <v>1.1000000000000001</v>
      </c>
      <c r="IS20" s="12">
        <v>1.99</v>
      </c>
      <c r="IT20" s="12">
        <v>2.46</v>
      </c>
      <c r="IU20" s="12">
        <v>2.7</v>
      </c>
      <c r="IV20" s="12">
        <v>3.18</v>
      </c>
      <c r="IW20" s="18">
        <v>3.37</v>
      </c>
      <c r="IX20" s="18">
        <v>3.33</v>
      </c>
      <c r="IY20" s="18">
        <v>2.84</v>
      </c>
      <c r="IZ20" s="19">
        <v>2.2200000000000002</v>
      </c>
      <c r="JA20" s="20">
        <v>1.04</v>
      </c>
      <c r="JB20" s="20">
        <v>0.64</v>
      </c>
      <c r="JC20" s="20">
        <v>0.93</v>
      </c>
      <c r="JD20" s="20">
        <v>1.1599999999999999</v>
      </c>
      <c r="JE20" s="20">
        <v>1.64</v>
      </c>
      <c r="JF20" s="21">
        <v>2.17</v>
      </c>
      <c r="JG20" s="22">
        <v>2.59</v>
      </c>
      <c r="JH20" s="22">
        <v>3.36</v>
      </c>
      <c r="JI20" s="20">
        <v>3.71</v>
      </c>
      <c r="JJ20" s="23">
        <v>3.49</v>
      </c>
      <c r="JK20" s="24">
        <v>1.91</v>
      </c>
      <c r="JL20" s="24">
        <v>0.81</v>
      </c>
      <c r="JM20" s="25">
        <v>0.69</v>
      </c>
      <c r="JN20" s="25">
        <v>0.97</v>
      </c>
      <c r="JO20" s="17">
        <v>1.1200000000000001</v>
      </c>
      <c r="JP20" s="17">
        <v>0.84</v>
      </c>
      <c r="JQ20" s="25">
        <v>1.59</v>
      </c>
      <c r="JR20" s="25">
        <v>2.19</v>
      </c>
      <c r="JS20" s="25">
        <v>2.87</v>
      </c>
      <c r="JT20" s="25">
        <v>3.49</v>
      </c>
      <c r="JU20" s="17">
        <v>3.94</v>
      </c>
      <c r="JV20" s="18">
        <v>4.04</v>
      </c>
      <c r="JW20" s="18">
        <v>3.53</v>
      </c>
      <c r="JX20" s="18">
        <v>3.21</v>
      </c>
      <c r="JY20" s="18">
        <v>1.33</v>
      </c>
      <c r="JZ20" s="18">
        <v>0.38</v>
      </c>
      <c r="KA20" s="18">
        <v>0.87</v>
      </c>
      <c r="KB20" s="18">
        <v>1.77</v>
      </c>
      <c r="KC20" s="18">
        <v>1.97</v>
      </c>
      <c r="KD20" s="18">
        <v>2.69</v>
      </c>
      <c r="KE20" s="18">
        <v>3.41</v>
      </c>
      <c r="KF20" s="18">
        <v>4.13</v>
      </c>
      <c r="KG20" s="26">
        <v>3.44</v>
      </c>
      <c r="KH20" s="26">
        <v>2.98</v>
      </c>
      <c r="KI20" s="26">
        <v>1.85</v>
      </c>
      <c r="KJ20" s="26">
        <v>1.28</v>
      </c>
      <c r="KK20" s="26">
        <v>0.99</v>
      </c>
      <c r="KL20" s="18">
        <v>0.81</v>
      </c>
      <c r="KM20" s="26">
        <v>1.1200000000000001</v>
      </c>
      <c r="KN20" s="18">
        <v>1.1800000000000002</v>
      </c>
      <c r="KO20" s="18">
        <v>1.8699999999999999</v>
      </c>
      <c r="KP20" s="18">
        <v>2.04</v>
      </c>
      <c r="KQ20" s="18">
        <v>2.7399999999999998</v>
      </c>
      <c r="KR20" s="18">
        <v>2.77</v>
      </c>
      <c r="KS20" s="18">
        <v>2.83</v>
      </c>
      <c r="KT20" s="18">
        <v>2.77</v>
      </c>
      <c r="KU20" s="26">
        <v>2.04</v>
      </c>
      <c r="KV20" s="18">
        <v>1.1900000000000002</v>
      </c>
      <c r="KW20" s="17">
        <v>0.82000000000000006</v>
      </c>
      <c r="KX20" s="17">
        <v>0.78</v>
      </c>
      <c r="KY20" s="18">
        <v>1.05</v>
      </c>
      <c r="KZ20" s="17">
        <v>1.57</v>
      </c>
      <c r="LA20" s="17">
        <v>1.6900000000000002</v>
      </c>
      <c r="LB20" s="17">
        <v>1.76</v>
      </c>
      <c r="LC20" s="17">
        <v>2.63</v>
      </c>
      <c r="LD20" s="17">
        <v>4.1899999999999995</v>
      </c>
      <c r="LE20" s="17">
        <v>3.74</v>
      </c>
      <c r="LF20" s="17">
        <v>3.15</v>
      </c>
      <c r="LG20" s="18">
        <v>2.7399999999999998</v>
      </c>
      <c r="LH20" s="18">
        <v>1.59</v>
      </c>
      <c r="LI20" s="18">
        <v>1.4600000000000002</v>
      </c>
      <c r="LJ20" s="18">
        <v>1.1200000000000001</v>
      </c>
      <c r="LK20" s="18">
        <v>1.34</v>
      </c>
      <c r="LL20" s="18">
        <v>1.2100000000000002</v>
      </c>
      <c r="LM20" s="18">
        <v>1.97</v>
      </c>
      <c r="LN20" s="18">
        <v>2.36</v>
      </c>
      <c r="LO20" s="18">
        <v>2.3699999999999997</v>
      </c>
      <c r="LP20" s="18">
        <v>2.7399999999999998</v>
      </c>
      <c r="LQ20" s="18">
        <v>2.3699999999999997</v>
      </c>
      <c r="LR20" s="18">
        <v>3.02</v>
      </c>
      <c r="LS20" s="18">
        <v>1.4100000000000001</v>
      </c>
      <c r="LT20" s="18">
        <v>1.31</v>
      </c>
      <c r="LU20" s="18">
        <v>1.31</v>
      </c>
      <c r="LV20" s="17">
        <v>1.4200000000000002</v>
      </c>
      <c r="LW20" s="17">
        <v>1.55</v>
      </c>
      <c r="LX20" s="17">
        <v>1.53</v>
      </c>
      <c r="LY20" s="17">
        <v>2.25</v>
      </c>
      <c r="LZ20" s="17">
        <v>2.8099999999999996</v>
      </c>
      <c r="MA20" s="17">
        <v>3.17</v>
      </c>
      <c r="MB20" s="17">
        <v>3.7199999999999998</v>
      </c>
      <c r="MC20" s="17">
        <v>3.58</v>
      </c>
      <c r="MD20" s="17">
        <v>4.22</v>
      </c>
      <c r="ME20" s="17">
        <v>2.84</v>
      </c>
      <c r="MF20" s="17">
        <v>2.59</v>
      </c>
      <c r="MG20" s="17">
        <v>1.91</v>
      </c>
      <c r="MH20" s="17">
        <v>1.64</v>
      </c>
      <c r="MI20" s="17">
        <v>1.8299999999999998</v>
      </c>
      <c r="MJ20" s="17">
        <v>2.29</v>
      </c>
      <c r="MK20" s="17">
        <v>2.59</v>
      </c>
      <c r="ML20" s="17">
        <v>2.9400000000000004</v>
      </c>
      <c r="MM20" s="27">
        <v>3.58</v>
      </c>
      <c r="MN20" s="27">
        <f>VLOOKUP(B20,[1]Sheet1!$A:$N,7,0)</f>
        <v>3.82</v>
      </c>
      <c r="MO20" s="27">
        <f>VLOOKUP(B20,[1]Sheet1!$A:$N,8,0)</f>
        <v>2.59</v>
      </c>
      <c r="MP20" s="27">
        <f>VLOOKUP(B20,[1]Sheet1!$A:$N,9,0)</f>
        <v>3.25</v>
      </c>
      <c r="MQ20" s="27">
        <f>VLOOKUP(B20,[1]Sheet1!$A:$N,10,0)</f>
        <v>2.79</v>
      </c>
      <c r="MR20" s="27">
        <f>VLOOKUP(B20,[1]Sheet1!$A:$N,11,0)</f>
        <v>2.0199999999999996</v>
      </c>
      <c r="MS20" s="27">
        <f>VLOOKUP(B20,[1]Sheet1!$A:$N,12,0)</f>
        <v>1.99</v>
      </c>
      <c r="MT20" s="27">
        <f>VLOOKUP(B20,[1]Sheet1!$A:$N,13,0)</f>
        <v>1.74</v>
      </c>
      <c r="MU20" s="27">
        <f>VLOOKUP(B20,[1]Sheet1!$A:$N,14,0)</f>
        <v>2.04</v>
      </c>
    </row>
    <row r="21" spans="1:359" s="27" customFormat="1" ht="18.75" customHeight="1" x14ac:dyDescent="0.25">
      <c r="A21" s="8" t="s">
        <v>0</v>
      </c>
      <c r="B21" s="8">
        <v>20189</v>
      </c>
      <c r="C21" s="9" t="s">
        <v>20</v>
      </c>
      <c r="D21" s="10" t="s">
        <v>58</v>
      </c>
      <c r="E21" s="10" t="s">
        <v>59</v>
      </c>
      <c r="F21" s="11" t="s">
        <v>60</v>
      </c>
      <c r="G21" s="39" t="s">
        <v>5</v>
      </c>
      <c r="H21" s="41">
        <v>40</v>
      </c>
      <c r="I21" s="13" t="s">
        <v>61</v>
      </c>
      <c r="J21" s="28">
        <v>34.67</v>
      </c>
      <c r="K21" s="15">
        <v>16.599879000000001</v>
      </c>
      <c r="L21" s="15">
        <v>80.713167999999996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2">
        <v>3.05</v>
      </c>
      <c r="GZ21" s="12">
        <v>4.3</v>
      </c>
      <c r="HA21" s="12">
        <v>5.05</v>
      </c>
      <c r="HB21" s="12">
        <v>5.6</v>
      </c>
      <c r="HC21" s="12">
        <v>3.95</v>
      </c>
      <c r="HD21" s="12">
        <v>2.64</v>
      </c>
      <c r="HE21" s="12">
        <v>2.2599999999999998</v>
      </c>
      <c r="HF21" s="12">
        <v>1.6</v>
      </c>
      <c r="HG21" s="12">
        <v>1.42</v>
      </c>
      <c r="HH21" s="12">
        <v>1.92</v>
      </c>
      <c r="HI21" s="12">
        <v>2.16</v>
      </c>
      <c r="HJ21" s="12">
        <v>3.1</v>
      </c>
      <c r="HK21" s="12">
        <v>4.0199999999999996</v>
      </c>
      <c r="HL21" s="12">
        <v>4.9800000000000004</v>
      </c>
      <c r="HM21" s="12">
        <v>4.7300000000000004</v>
      </c>
      <c r="HN21" s="12">
        <v>5.93</v>
      </c>
      <c r="HO21" s="12">
        <v>6.04</v>
      </c>
      <c r="HP21" s="12">
        <v>5.28</v>
      </c>
      <c r="HQ21" s="12">
        <v>2.63</v>
      </c>
      <c r="HR21" s="12">
        <v>3.43</v>
      </c>
      <c r="HS21" s="12">
        <v>3.23</v>
      </c>
      <c r="HT21" s="12">
        <v>3.13</v>
      </c>
      <c r="HU21" s="12">
        <v>3.45</v>
      </c>
      <c r="HV21" s="12">
        <v>4.2300000000000004</v>
      </c>
      <c r="HW21" s="12">
        <v>5.33</v>
      </c>
      <c r="HX21" s="12">
        <v>6.27</v>
      </c>
      <c r="HY21" s="12">
        <v>7.68</v>
      </c>
      <c r="HZ21" s="12">
        <v>6.88</v>
      </c>
      <c r="IA21" s="12">
        <v>5.81</v>
      </c>
      <c r="IB21" s="12">
        <v>4.18</v>
      </c>
      <c r="IC21" s="12">
        <v>4.2300000000000004</v>
      </c>
      <c r="ID21" s="12">
        <v>3.18</v>
      </c>
      <c r="IE21" s="12">
        <v>3.92</v>
      </c>
      <c r="IF21" s="12">
        <v>4.6100000000000003</v>
      </c>
      <c r="IG21" s="12">
        <v>5.49</v>
      </c>
      <c r="IH21" s="12">
        <v>6.72</v>
      </c>
      <c r="II21" s="12">
        <v>7.67</v>
      </c>
      <c r="IJ21" s="12">
        <v>8.9600000000000009</v>
      </c>
      <c r="IK21" s="12">
        <v>9.17</v>
      </c>
      <c r="IL21" s="12">
        <v>6.01</v>
      </c>
      <c r="IM21" s="12">
        <v>3.13</v>
      </c>
      <c r="IN21" s="12">
        <v>3.4</v>
      </c>
      <c r="IO21" s="12">
        <v>3.27</v>
      </c>
      <c r="IP21" s="12">
        <v>3.47</v>
      </c>
      <c r="IQ21" s="12">
        <v>5.77</v>
      </c>
      <c r="IR21" s="12">
        <v>5.77</v>
      </c>
      <c r="IS21" s="12">
        <v>6.44</v>
      </c>
      <c r="IT21" s="12">
        <v>7.43</v>
      </c>
      <c r="IU21" s="12">
        <v>8.65</v>
      </c>
      <c r="IV21" s="12">
        <v>9.58</v>
      </c>
      <c r="IW21" s="18">
        <v>10.45</v>
      </c>
      <c r="IX21" s="18">
        <v>10.23</v>
      </c>
      <c r="IY21" s="18">
        <v>6.75</v>
      </c>
      <c r="IZ21" s="19">
        <v>7.46</v>
      </c>
      <c r="JA21" s="20">
        <v>6.17</v>
      </c>
      <c r="JB21" s="20">
        <v>6.22</v>
      </c>
      <c r="JC21" s="20">
        <v>7.05</v>
      </c>
      <c r="JD21" s="20">
        <v>7.36</v>
      </c>
      <c r="JE21" s="20">
        <v>8.1</v>
      </c>
      <c r="JF21" s="21">
        <v>9.1199999999999992</v>
      </c>
      <c r="JG21" s="22">
        <v>10.56</v>
      </c>
      <c r="JH21" s="22">
        <v>10.84</v>
      </c>
      <c r="JI21" s="20">
        <v>11.49</v>
      </c>
      <c r="JJ21" s="23">
        <v>11.25</v>
      </c>
      <c r="JK21" s="24">
        <v>7.84</v>
      </c>
      <c r="JL21" s="24">
        <v>3.61</v>
      </c>
      <c r="JM21" s="17">
        <v>4.57</v>
      </c>
      <c r="JN21" s="17">
        <v>5.67</v>
      </c>
      <c r="JO21" s="17">
        <v>6.71</v>
      </c>
      <c r="JP21" s="17">
        <v>6.62</v>
      </c>
      <c r="JQ21" s="17">
        <v>7.43</v>
      </c>
      <c r="JR21" s="17">
        <v>8.2799999999999994</v>
      </c>
      <c r="JS21" s="17">
        <v>10.34</v>
      </c>
      <c r="JT21" s="17">
        <v>10.9</v>
      </c>
      <c r="JU21" s="17">
        <v>11.31</v>
      </c>
      <c r="JV21" s="18">
        <v>11.83</v>
      </c>
      <c r="JW21" s="18">
        <v>11.36</v>
      </c>
      <c r="JX21" s="18">
        <v>8.51</v>
      </c>
      <c r="JY21" s="18">
        <v>6.19</v>
      </c>
      <c r="JZ21" s="18">
        <v>3.95</v>
      </c>
      <c r="KA21" s="18">
        <v>4.8600000000000003</v>
      </c>
      <c r="KB21" s="18">
        <v>5.31</v>
      </c>
      <c r="KC21" s="18">
        <v>6.51</v>
      </c>
      <c r="KD21" s="18">
        <v>7.43</v>
      </c>
      <c r="KE21" s="18">
        <v>8.35</v>
      </c>
      <c r="KF21" s="18">
        <v>9.27</v>
      </c>
      <c r="KG21" s="26">
        <v>9.08</v>
      </c>
      <c r="KH21" s="26">
        <v>10.31</v>
      </c>
      <c r="KI21" s="26">
        <v>6.31</v>
      </c>
      <c r="KJ21" s="26">
        <v>4.7300000000000004</v>
      </c>
      <c r="KK21" s="26">
        <v>5.36</v>
      </c>
      <c r="KL21" s="18">
        <v>2.31</v>
      </c>
      <c r="KM21" s="26">
        <v>3.4799999999999995</v>
      </c>
      <c r="KN21" s="18">
        <v>3.4399999999999995</v>
      </c>
      <c r="KO21" s="18">
        <v>4.83</v>
      </c>
      <c r="KP21" s="18">
        <v>5.91</v>
      </c>
      <c r="KQ21" s="18">
        <v>6.58</v>
      </c>
      <c r="KR21" s="18">
        <v>8.0500000000000007</v>
      </c>
      <c r="KS21" s="18">
        <v>8.0300000000000011</v>
      </c>
      <c r="KT21" s="18">
        <v>8.2800000000000011</v>
      </c>
      <c r="KU21" s="26">
        <v>8.08</v>
      </c>
      <c r="KV21" s="18">
        <v>7.2700000000000005</v>
      </c>
      <c r="KW21" s="17">
        <v>6.2299999999999995</v>
      </c>
      <c r="KX21" s="17">
        <v>1.56</v>
      </c>
      <c r="KY21" s="18">
        <v>1.9699999999999998</v>
      </c>
      <c r="KZ21" s="17">
        <v>2.3899999999999997</v>
      </c>
      <c r="LA21" s="17">
        <v>2.98</v>
      </c>
      <c r="LB21" s="17">
        <v>3.51</v>
      </c>
      <c r="LC21" s="17">
        <v>5.28</v>
      </c>
      <c r="LD21" s="17">
        <v>6.6</v>
      </c>
      <c r="LE21" s="17">
        <v>6.93</v>
      </c>
      <c r="LF21" s="17">
        <v>7.2299999999999995</v>
      </c>
      <c r="LG21" s="18">
        <v>6.36</v>
      </c>
      <c r="LH21" s="18">
        <v>5.93</v>
      </c>
      <c r="LI21" s="18">
        <v>3.1899999999999995</v>
      </c>
      <c r="LJ21" s="18">
        <v>1.4299999999999997</v>
      </c>
      <c r="LK21" s="18">
        <v>2.36</v>
      </c>
      <c r="LL21" s="18">
        <v>2.9499999999999997</v>
      </c>
      <c r="LM21" s="18">
        <v>3.87</v>
      </c>
      <c r="LN21" s="18">
        <v>4.8899999999999997</v>
      </c>
      <c r="LO21" s="18">
        <v>5.75</v>
      </c>
      <c r="LP21" s="18">
        <v>6.25</v>
      </c>
      <c r="LQ21" s="18">
        <v>5.4799999999999995</v>
      </c>
      <c r="LR21" s="18">
        <v>6.63</v>
      </c>
      <c r="LS21" s="18">
        <v>4.4799999999999995</v>
      </c>
      <c r="LT21" s="18">
        <v>3.4399999999999995</v>
      </c>
      <c r="LU21" s="18">
        <v>2.4899999999999998</v>
      </c>
      <c r="LV21" s="17">
        <v>3.63</v>
      </c>
      <c r="LW21" s="17">
        <v>4.6500000000000004</v>
      </c>
      <c r="LX21" s="17">
        <v>3.52</v>
      </c>
      <c r="LY21" s="17">
        <v>4.4700000000000006</v>
      </c>
      <c r="LZ21" s="17">
        <v>4.9400000000000004</v>
      </c>
      <c r="MA21" s="17">
        <v>6.17</v>
      </c>
      <c r="MB21" s="17">
        <v>7.3800000000000008</v>
      </c>
      <c r="MC21" s="17">
        <v>7.57</v>
      </c>
      <c r="MD21" s="17">
        <v>7.67</v>
      </c>
      <c r="ME21" s="17">
        <v>4.1500000000000004</v>
      </c>
      <c r="MF21" s="17">
        <v>3.4999999999999996</v>
      </c>
      <c r="MG21" s="17">
        <v>1.31</v>
      </c>
      <c r="MH21" s="17">
        <v>1.5</v>
      </c>
      <c r="MI21" s="17">
        <v>1.98</v>
      </c>
      <c r="MJ21" s="17">
        <v>2.82</v>
      </c>
      <c r="MK21" s="17">
        <v>3.8699999999999997</v>
      </c>
      <c r="ML21" s="17">
        <v>4.67</v>
      </c>
      <c r="MM21" s="27">
        <v>5.76</v>
      </c>
      <c r="MN21" s="27">
        <f>VLOOKUP(B21,[1]Sheet1!$A:$N,7,0)</f>
        <v>6.76</v>
      </c>
      <c r="MO21" s="27">
        <f>VLOOKUP(B21,[1]Sheet1!$A:$N,8,0)</f>
        <v>3.4999999999999996</v>
      </c>
      <c r="MP21" s="27">
        <f>VLOOKUP(B21,[1]Sheet1!$A:$N,9,0)</f>
        <v>4.58</v>
      </c>
      <c r="MQ21" s="27">
        <f>VLOOKUP(B21,[1]Sheet1!$A:$N,10,0)</f>
        <v>3.1599999999999997</v>
      </c>
      <c r="MR21" s="27">
        <f>VLOOKUP(B21,[1]Sheet1!$A:$N,11,0)</f>
        <v>1.81</v>
      </c>
      <c r="MS21" s="27">
        <f>VLOOKUP(B21,[1]Sheet1!$A:$N,12,0)</f>
        <v>1.18</v>
      </c>
      <c r="MT21" s="27">
        <f>VLOOKUP(B21,[1]Sheet1!$A:$N,13,0)</f>
        <v>1.04</v>
      </c>
      <c r="MU21" s="27">
        <f>VLOOKUP(B21,[1]Sheet1!$A:$N,14,0)</f>
        <v>1.48</v>
      </c>
    </row>
    <row r="22" spans="1:359" s="27" customFormat="1" ht="18.75" customHeight="1" x14ac:dyDescent="0.25">
      <c r="A22" s="8" t="s">
        <v>0</v>
      </c>
      <c r="B22" s="8">
        <v>20190</v>
      </c>
      <c r="C22" s="9" t="s">
        <v>20</v>
      </c>
      <c r="D22" s="10" t="s">
        <v>58</v>
      </c>
      <c r="E22" s="10" t="s">
        <v>62</v>
      </c>
      <c r="F22" s="11" t="s">
        <v>30</v>
      </c>
      <c r="G22" s="39" t="s">
        <v>5</v>
      </c>
      <c r="H22" s="41">
        <v>54</v>
      </c>
      <c r="I22" s="13" t="s">
        <v>61</v>
      </c>
      <c r="J22" s="28">
        <v>36.78</v>
      </c>
      <c r="K22" s="15">
        <v>16.60134</v>
      </c>
      <c r="L22" s="15">
        <v>80.825192000000001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2">
        <v>8.75</v>
      </c>
      <c r="GZ22" s="12">
        <v>9.5500000000000007</v>
      </c>
      <c r="HA22" s="12">
        <v>9.6300000000000008</v>
      </c>
      <c r="HB22" s="12">
        <v>10.15</v>
      </c>
      <c r="HC22" s="12">
        <v>9.74</v>
      </c>
      <c r="HD22" s="12">
        <v>10.35</v>
      </c>
      <c r="HE22" s="12">
        <v>10.14</v>
      </c>
      <c r="HF22" s="12">
        <v>2.98</v>
      </c>
      <c r="HG22" s="12">
        <v>1.3</v>
      </c>
      <c r="HH22" s="12">
        <v>5.77</v>
      </c>
      <c r="HI22" s="12">
        <v>3.81</v>
      </c>
      <c r="HJ22" s="12">
        <v>6</v>
      </c>
      <c r="HK22" s="12">
        <v>8.4499999999999993</v>
      </c>
      <c r="HL22" s="12">
        <v>12.4</v>
      </c>
      <c r="HM22" s="12">
        <v>10.52</v>
      </c>
      <c r="HN22" s="12">
        <v>11.64</v>
      </c>
      <c r="HO22" s="12">
        <v>10.71</v>
      </c>
      <c r="HP22" s="12">
        <v>13.6</v>
      </c>
      <c r="HQ22" s="12">
        <v>9.35</v>
      </c>
      <c r="HR22" s="12">
        <v>9.15</v>
      </c>
      <c r="HS22" s="12">
        <v>8.6</v>
      </c>
      <c r="HT22" s="12">
        <v>9.01</v>
      </c>
      <c r="HU22" s="12">
        <v>10.050000000000001</v>
      </c>
      <c r="HV22" s="12">
        <v>12.6</v>
      </c>
      <c r="HW22" s="12">
        <v>14.82</v>
      </c>
      <c r="HX22" s="12">
        <v>16.45</v>
      </c>
      <c r="HY22" s="12">
        <v>17.350000000000001</v>
      </c>
      <c r="HZ22" s="12">
        <v>14</v>
      </c>
      <c r="IA22" s="12">
        <v>14.07</v>
      </c>
      <c r="IB22" s="12">
        <v>13.85</v>
      </c>
      <c r="IC22" s="12">
        <v>16.989999999999998</v>
      </c>
      <c r="ID22" s="12">
        <v>16.93</v>
      </c>
      <c r="IE22" s="12">
        <v>17.75</v>
      </c>
      <c r="IF22" s="12">
        <v>17.559999999999999</v>
      </c>
      <c r="IG22" s="12">
        <v>17.899999999999999</v>
      </c>
      <c r="IH22" s="12">
        <v>18.91</v>
      </c>
      <c r="II22" s="12">
        <v>19.829999999999998</v>
      </c>
      <c r="IJ22" s="12">
        <v>21.12</v>
      </c>
      <c r="IK22" s="12">
        <v>20.95</v>
      </c>
      <c r="IL22" s="12">
        <v>16.59</v>
      </c>
      <c r="IM22" s="12">
        <v>16.350000000000001</v>
      </c>
      <c r="IN22" s="12">
        <v>17.43</v>
      </c>
      <c r="IO22" s="12">
        <v>17.27</v>
      </c>
      <c r="IP22" s="12">
        <v>18.07</v>
      </c>
      <c r="IQ22" s="12">
        <v>19.16</v>
      </c>
      <c r="IR22" s="12">
        <v>19.18</v>
      </c>
      <c r="IS22" s="12">
        <v>19.399999999999999</v>
      </c>
      <c r="IT22" s="12">
        <v>21.06</v>
      </c>
      <c r="IU22" s="12">
        <v>22.22</v>
      </c>
      <c r="IV22" s="12">
        <v>22.7</v>
      </c>
      <c r="IW22" s="18">
        <v>23.15</v>
      </c>
      <c r="IX22" s="18">
        <v>23.4</v>
      </c>
      <c r="IY22" s="18">
        <v>21.85</v>
      </c>
      <c r="IZ22" s="19">
        <v>20.65</v>
      </c>
      <c r="JA22" s="20">
        <v>18.52</v>
      </c>
      <c r="JB22" s="20">
        <v>17.2</v>
      </c>
      <c r="JC22" s="20">
        <v>18.84</v>
      </c>
      <c r="JD22" s="20">
        <v>17.829999999999998</v>
      </c>
      <c r="JE22" s="20">
        <v>18.57</v>
      </c>
      <c r="JF22" s="21">
        <v>19.75</v>
      </c>
      <c r="JG22" s="22">
        <v>21.25</v>
      </c>
      <c r="JH22" s="22">
        <v>21.72</v>
      </c>
      <c r="JI22" s="20">
        <v>23.35</v>
      </c>
      <c r="JJ22" s="23">
        <v>23.38</v>
      </c>
      <c r="JK22" s="24">
        <v>21.74</v>
      </c>
      <c r="JL22" s="24">
        <v>17.68</v>
      </c>
      <c r="JM22" s="17">
        <v>18.55</v>
      </c>
      <c r="JN22" s="17">
        <v>19.2</v>
      </c>
      <c r="JO22" s="17">
        <v>20.7</v>
      </c>
      <c r="JP22" s="17">
        <v>18.02</v>
      </c>
      <c r="JQ22" s="17">
        <v>19.440000000000001</v>
      </c>
      <c r="JR22" s="17">
        <v>19.329999999999998</v>
      </c>
      <c r="JS22" s="17">
        <v>20.47</v>
      </c>
      <c r="JT22" s="17">
        <v>21.55</v>
      </c>
      <c r="JU22" s="17">
        <v>21.76</v>
      </c>
      <c r="JV22" s="18">
        <v>21.1</v>
      </c>
      <c r="JW22" s="18">
        <v>22.4</v>
      </c>
      <c r="JX22" s="18">
        <v>20.32</v>
      </c>
      <c r="JY22" s="18">
        <v>19.2</v>
      </c>
      <c r="JZ22" s="18">
        <v>16.45</v>
      </c>
      <c r="KA22" s="18">
        <v>15.83</v>
      </c>
      <c r="KB22" s="18">
        <v>15.88</v>
      </c>
      <c r="KC22" s="18">
        <v>16.89</v>
      </c>
      <c r="KD22" s="18">
        <v>17.87</v>
      </c>
      <c r="KE22" s="18">
        <v>18.850000000000001</v>
      </c>
      <c r="KF22" s="18">
        <v>19.829999999999998</v>
      </c>
      <c r="KG22" s="26">
        <v>21.45</v>
      </c>
      <c r="KH22" s="26">
        <v>20.63</v>
      </c>
      <c r="KI22" s="26">
        <v>18.09</v>
      </c>
      <c r="KJ22" s="26">
        <v>17.52</v>
      </c>
      <c r="KK22" s="26">
        <v>16.27</v>
      </c>
      <c r="KL22" s="18">
        <v>10.84</v>
      </c>
      <c r="KM22" s="26">
        <v>9.5</v>
      </c>
      <c r="KN22" s="18">
        <v>9.86</v>
      </c>
      <c r="KO22" s="18">
        <v>12.129999999999999</v>
      </c>
      <c r="KP22" s="18">
        <v>14.69</v>
      </c>
      <c r="KQ22" s="18">
        <v>16.650000000000002</v>
      </c>
      <c r="KR22" s="18">
        <v>18.240000000000002</v>
      </c>
      <c r="KS22" s="18">
        <v>16.98</v>
      </c>
      <c r="KT22" s="18">
        <v>16.75</v>
      </c>
      <c r="KU22" s="26">
        <v>15.42</v>
      </c>
      <c r="KV22" s="18">
        <v>15.24</v>
      </c>
      <c r="KW22" s="17">
        <v>9.74</v>
      </c>
      <c r="KX22" s="17">
        <v>9.36</v>
      </c>
      <c r="KY22" s="18">
        <v>7.93</v>
      </c>
      <c r="KZ22" s="17">
        <v>8.3699999999999992</v>
      </c>
      <c r="LA22" s="17">
        <v>8.48</v>
      </c>
      <c r="LB22" s="17">
        <v>11.18</v>
      </c>
      <c r="LC22" s="17">
        <v>11.25</v>
      </c>
      <c r="LD22" s="17">
        <v>14.56</v>
      </c>
      <c r="LE22" s="17">
        <v>14.08</v>
      </c>
      <c r="LF22" s="17">
        <v>13.95</v>
      </c>
      <c r="LG22" s="18">
        <v>13.05</v>
      </c>
      <c r="LH22" s="18">
        <v>12.7</v>
      </c>
      <c r="LI22" s="18">
        <v>12.06</v>
      </c>
      <c r="LJ22" s="18">
        <v>7.9599999999999991</v>
      </c>
      <c r="LK22" s="18">
        <v>8.8699999999999992</v>
      </c>
      <c r="LL22" s="18">
        <v>9.73</v>
      </c>
      <c r="LM22" s="18">
        <v>11.719999999999999</v>
      </c>
      <c r="LN22" s="18">
        <v>14.049999999999999</v>
      </c>
      <c r="LO22" s="18">
        <v>14.77</v>
      </c>
      <c r="LP22" s="18">
        <v>14.66</v>
      </c>
      <c r="LQ22" s="18">
        <v>13.65</v>
      </c>
      <c r="LR22" s="18">
        <v>14.719999999999999</v>
      </c>
      <c r="LS22" s="18">
        <v>10.52</v>
      </c>
      <c r="LT22" s="18">
        <v>10.67</v>
      </c>
      <c r="LU22" s="18">
        <v>9.52</v>
      </c>
      <c r="LV22" s="17">
        <v>10.44</v>
      </c>
      <c r="LW22" s="17">
        <v>11.440000000000001</v>
      </c>
      <c r="LX22" s="17">
        <v>8.77</v>
      </c>
      <c r="LY22" s="17">
        <v>10.530000000000001</v>
      </c>
      <c r="LZ22" s="17">
        <v>10.93</v>
      </c>
      <c r="MA22" s="17">
        <v>15.64</v>
      </c>
      <c r="MB22" s="17">
        <v>17.029999999999998</v>
      </c>
      <c r="MC22" s="17">
        <v>15.82</v>
      </c>
      <c r="MD22" s="17">
        <v>14.620000000000001</v>
      </c>
      <c r="ME22" s="17">
        <v>12.440000000000001</v>
      </c>
      <c r="MF22" s="17">
        <v>13.77</v>
      </c>
      <c r="MG22" s="17">
        <v>4.75</v>
      </c>
      <c r="MH22" s="17">
        <v>4.63</v>
      </c>
      <c r="MI22" s="17">
        <v>4.6399999999999997</v>
      </c>
      <c r="MJ22" s="17">
        <v>6.33</v>
      </c>
      <c r="MK22" s="17">
        <v>8.379999999999999</v>
      </c>
      <c r="ML22" s="17">
        <v>9.7800000000000011</v>
      </c>
      <c r="MM22" s="27">
        <v>13.01</v>
      </c>
      <c r="MN22" s="27">
        <f>VLOOKUP(B22,[1]Sheet1!$A:$N,7,0)</f>
        <v>13.97</v>
      </c>
      <c r="MO22" s="27">
        <f>VLOOKUP(B22,[1]Sheet1!$A:$N,8,0)</f>
        <v>13.77</v>
      </c>
      <c r="MP22" s="27">
        <f>VLOOKUP(B22,[1]Sheet1!$A:$N,9,0)</f>
        <v>13.61</v>
      </c>
      <c r="MQ22" s="27">
        <f>VLOOKUP(B22,[1]Sheet1!$A:$N,10,0)</f>
        <v>13.760000000000002</v>
      </c>
      <c r="MR22" s="27">
        <f>VLOOKUP(B22,[1]Sheet1!$A:$N,11,0)</f>
        <v>12.46</v>
      </c>
      <c r="MS22" s="27">
        <f>VLOOKUP(B22,[1]Sheet1!$A:$N,12,0)</f>
        <v>8.7100000000000009</v>
      </c>
      <c r="MT22" s="27">
        <f>VLOOKUP(B22,[1]Sheet1!$A:$N,13,0)</f>
        <v>6.46</v>
      </c>
      <c r="MU22" s="27">
        <f>VLOOKUP(B22,[1]Sheet1!$A:$N,14,0)</f>
        <v>6.36</v>
      </c>
    </row>
    <row r="23" spans="1:359" s="27" customFormat="1" ht="18.75" customHeight="1" x14ac:dyDescent="0.25">
      <c r="A23" s="8" t="s">
        <v>0</v>
      </c>
      <c r="B23" s="8">
        <v>20191</v>
      </c>
      <c r="C23" s="9" t="s">
        <v>20</v>
      </c>
      <c r="D23" s="10" t="s">
        <v>63</v>
      </c>
      <c r="E23" s="10" t="s">
        <v>63</v>
      </c>
      <c r="F23" s="11" t="s">
        <v>46</v>
      </c>
      <c r="G23" s="39" t="s">
        <v>5</v>
      </c>
      <c r="H23" s="41">
        <v>25</v>
      </c>
      <c r="I23" s="13" t="s">
        <v>2</v>
      </c>
      <c r="J23" s="28">
        <v>5.77</v>
      </c>
      <c r="K23" s="15">
        <v>16.177085000000002</v>
      </c>
      <c r="L23" s="15">
        <v>80.936338000000006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2">
        <v>5.23</v>
      </c>
      <c r="GZ23" s="12">
        <v>4.93</v>
      </c>
      <c r="HA23" s="12">
        <v>4.93</v>
      </c>
      <c r="HB23" s="12">
        <v>4.96</v>
      </c>
      <c r="HC23" s="12">
        <v>5.42</v>
      </c>
      <c r="HD23" s="12">
        <v>5.23</v>
      </c>
      <c r="HE23" s="12">
        <v>3.66</v>
      </c>
      <c r="HF23" s="12">
        <v>3.32</v>
      </c>
      <c r="HG23" s="12">
        <v>3.59</v>
      </c>
      <c r="HH23" s="12">
        <v>3.58</v>
      </c>
      <c r="HI23" s="12">
        <v>4.37</v>
      </c>
      <c r="HJ23" s="12">
        <v>4.9400000000000004</v>
      </c>
      <c r="HK23" s="12">
        <v>5.08</v>
      </c>
      <c r="HL23" s="12">
        <v>4.58</v>
      </c>
      <c r="HM23" s="12">
        <v>5.27</v>
      </c>
      <c r="HN23" s="12">
        <v>5.55</v>
      </c>
      <c r="HO23" s="12">
        <v>6.35</v>
      </c>
      <c r="HP23" s="12">
        <v>6.76</v>
      </c>
      <c r="HQ23" s="12">
        <v>5.39</v>
      </c>
      <c r="HR23" s="12">
        <v>4.7300000000000004</v>
      </c>
      <c r="HS23" s="12">
        <v>4.4800000000000004</v>
      </c>
      <c r="HT23" s="12">
        <v>4.53</v>
      </c>
      <c r="HU23" s="12">
        <v>5.28</v>
      </c>
      <c r="HV23" s="12">
        <v>5.24</v>
      </c>
      <c r="HW23" s="12">
        <v>5.45</v>
      </c>
      <c r="HX23" s="12">
        <v>5.62</v>
      </c>
      <c r="HY23" s="12">
        <v>5.91</v>
      </c>
      <c r="HZ23" s="12">
        <v>5.39</v>
      </c>
      <c r="IA23" s="12">
        <v>5.87</v>
      </c>
      <c r="IB23" s="12">
        <v>6.87</v>
      </c>
      <c r="IC23" s="12">
        <v>6.13</v>
      </c>
      <c r="ID23" s="12">
        <v>7.22</v>
      </c>
      <c r="IE23" s="12">
        <v>7.63</v>
      </c>
      <c r="IF23" s="12">
        <v>6.51</v>
      </c>
      <c r="IG23" s="12">
        <v>6.54</v>
      </c>
      <c r="IH23" s="12">
        <v>6.19</v>
      </c>
      <c r="II23" s="12">
        <v>6.4</v>
      </c>
      <c r="IJ23" s="12">
        <v>6.77</v>
      </c>
      <c r="IK23" s="12">
        <v>7.02</v>
      </c>
      <c r="IL23" s="12">
        <v>6.18</v>
      </c>
      <c r="IM23" s="12">
        <v>7.58</v>
      </c>
      <c r="IN23" s="12">
        <v>7.99</v>
      </c>
      <c r="IO23" s="12">
        <v>7.36</v>
      </c>
      <c r="IP23" s="12">
        <v>5.85</v>
      </c>
      <c r="IQ23" s="12">
        <v>6.72</v>
      </c>
      <c r="IR23" s="12">
        <v>5.7</v>
      </c>
      <c r="IS23" s="12">
        <v>6.48</v>
      </c>
      <c r="IT23" s="12">
        <v>6.5</v>
      </c>
      <c r="IU23" s="12">
        <v>6.88</v>
      </c>
      <c r="IV23" s="12">
        <v>7.34</v>
      </c>
      <c r="IW23" s="18">
        <v>7.39</v>
      </c>
      <c r="IX23" s="18">
        <v>7.29</v>
      </c>
      <c r="IY23" s="18">
        <v>8</v>
      </c>
      <c r="IZ23" s="19">
        <v>7.71</v>
      </c>
      <c r="JA23" s="20">
        <v>7.2</v>
      </c>
      <c r="JB23" s="20">
        <v>7.43</v>
      </c>
      <c r="JC23" s="20">
        <v>7.81</v>
      </c>
      <c r="JD23" s="20">
        <v>6.86</v>
      </c>
      <c r="JE23" s="20">
        <v>7.52</v>
      </c>
      <c r="JF23" s="21">
        <v>7.97</v>
      </c>
      <c r="JG23" s="22">
        <v>8.9</v>
      </c>
      <c r="JH23" s="22">
        <v>8.8000000000000007</v>
      </c>
      <c r="JI23" s="20">
        <v>8.9600000000000009</v>
      </c>
      <c r="JJ23" s="23">
        <v>9.02</v>
      </c>
      <c r="JK23" s="24">
        <v>8.66</v>
      </c>
      <c r="JL23" s="24">
        <v>8.6300000000000008</v>
      </c>
      <c r="JM23" s="25">
        <v>8.4600000000000009</v>
      </c>
      <c r="JN23" s="25">
        <v>8.6999999999999993</v>
      </c>
      <c r="JO23" s="17">
        <v>8.41</v>
      </c>
      <c r="JP23" s="17">
        <v>7.71</v>
      </c>
      <c r="JQ23" s="25">
        <v>8.0399999999999991</v>
      </c>
      <c r="JR23" s="25">
        <v>8.9499999999999993</v>
      </c>
      <c r="JS23" s="25">
        <v>9.7200000000000006</v>
      </c>
      <c r="JT23" s="25">
        <v>9.76</v>
      </c>
      <c r="JU23" s="17">
        <v>9.7799999999999994</v>
      </c>
      <c r="JV23" s="18">
        <v>9.93</v>
      </c>
      <c r="JW23" s="18">
        <v>10.81</v>
      </c>
      <c r="JX23" s="18">
        <v>10.1</v>
      </c>
      <c r="JY23" s="18">
        <v>8.5399999999999991</v>
      </c>
      <c r="JZ23" s="18">
        <v>7.8</v>
      </c>
      <c r="KA23" s="18">
        <v>8.14</v>
      </c>
      <c r="KB23" s="18">
        <v>8.17</v>
      </c>
      <c r="KC23" s="18">
        <v>7.75</v>
      </c>
      <c r="KD23" s="18">
        <v>9.42</v>
      </c>
      <c r="KE23" s="18">
        <v>11.09</v>
      </c>
      <c r="KF23" s="18">
        <v>12.76</v>
      </c>
      <c r="KG23" s="26">
        <v>9.6300000000000008</v>
      </c>
      <c r="KH23" s="26">
        <v>10.26</v>
      </c>
      <c r="KI23" s="26">
        <v>10.91</v>
      </c>
      <c r="KJ23" s="26">
        <v>9.23</v>
      </c>
      <c r="KK23" s="26">
        <v>8.52</v>
      </c>
      <c r="KL23" s="18">
        <v>7.08</v>
      </c>
      <c r="KM23" s="26">
        <v>8.0500000000000007</v>
      </c>
      <c r="KN23" s="18">
        <v>7.7399999999999993</v>
      </c>
      <c r="KO23" s="18">
        <v>8.81</v>
      </c>
      <c r="KP23" s="18">
        <v>9.08</v>
      </c>
      <c r="KQ23" s="18">
        <v>9.7800000000000011</v>
      </c>
      <c r="KR23" s="18">
        <v>9.8600000000000012</v>
      </c>
      <c r="KS23" s="18">
        <v>10.16</v>
      </c>
      <c r="KT23" s="18">
        <v>9.92</v>
      </c>
      <c r="KU23" s="26">
        <v>8.64</v>
      </c>
      <c r="KV23" s="18">
        <v>8.1100000000000012</v>
      </c>
      <c r="KW23" s="17">
        <v>9.4300000000000015</v>
      </c>
      <c r="KX23" s="17">
        <v>9.24</v>
      </c>
      <c r="KY23" s="18">
        <v>8.6800000000000015</v>
      </c>
      <c r="KZ23" s="17">
        <v>8.8400000000000016</v>
      </c>
      <c r="LA23" s="17">
        <v>8.81</v>
      </c>
      <c r="LB23" s="17">
        <v>9.0500000000000007</v>
      </c>
      <c r="LC23" s="17">
        <v>9.4</v>
      </c>
      <c r="LD23" s="17">
        <v>11.530000000000001</v>
      </c>
      <c r="LE23" s="17">
        <v>10.860000000000001</v>
      </c>
      <c r="LF23" s="17">
        <v>11.06</v>
      </c>
      <c r="LG23" s="18">
        <v>10.440000000000001</v>
      </c>
      <c r="LH23" s="18">
        <v>10.180000000000001</v>
      </c>
      <c r="LI23" s="18">
        <v>9.4600000000000009</v>
      </c>
      <c r="LJ23" s="18">
        <v>8.5300000000000011</v>
      </c>
      <c r="LK23" s="18">
        <v>9.49</v>
      </c>
      <c r="LL23" s="18">
        <v>9.58</v>
      </c>
      <c r="LM23" s="18">
        <v>9.6300000000000008</v>
      </c>
      <c r="LN23" s="18">
        <v>10.07</v>
      </c>
      <c r="LO23" s="18">
        <v>10.25</v>
      </c>
      <c r="LP23" s="18">
        <v>10.63</v>
      </c>
      <c r="LQ23" s="18">
        <v>10.430000000000001</v>
      </c>
      <c r="LR23" s="18">
        <v>11.040000000000001</v>
      </c>
      <c r="LS23" s="18">
        <v>10.700000000000001</v>
      </c>
      <c r="LT23" s="18">
        <v>10.83</v>
      </c>
      <c r="LU23" s="18">
        <v>10.33</v>
      </c>
      <c r="LV23" s="17">
        <v>10.63</v>
      </c>
      <c r="LW23" s="17">
        <v>10.89</v>
      </c>
      <c r="LX23" s="17">
        <v>10.66</v>
      </c>
      <c r="LY23" s="17">
        <v>11</v>
      </c>
      <c r="LZ23" s="17">
        <v>10.89</v>
      </c>
      <c r="MA23" s="17">
        <v>11.43</v>
      </c>
      <c r="MB23" s="17">
        <v>11.7</v>
      </c>
      <c r="MC23" s="17">
        <v>11.54</v>
      </c>
      <c r="MD23" s="17">
        <v>10.85</v>
      </c>
      <c r="ME23" s="17">
        <v>12.41</v>
      </c>
      <c r="MF23" s="17">
        <v>12.04</v>
      </c>
      <c r="MG23" s="17">
        <v>11.469999999999999</v>
      </c>
      <c r="MH23" s="17">
        <v>9.77</v>
      </c>
      <c r="MI23" s="17">
        <v>10.45</v>
      </c>
      <c r="MJ23" s="17">
        <v>10.58</v>
      </c>
      <c r="MK23" s="17">
        <v>11.209999999999999</v>
      </c>
      <c r="ML23" s="17">
        <v>11.07</v>
      </c>
      <c r="MM23" s="27">
        <v>11.15</v>
      </c>
      <c r="MN23" s="27">
        <f>VLOOKUP(B23,[1]Sheet1!$A:$N,7,0)</f>
        <v>11.85</v>
      </c>
      <c r="MO23" s="27">
        <f>VLOOKUP(B23,[1]Sheet1!$A:$N,8,0)</f>
        <v>12.04</v>
      </c>
      <c r="MP23" s="27">
        <f>VLOOKUP(B23,[1]Sheet1!$A:$N,9,0)</f>
        <v>12.18</v>
      </c>
      <c r="MQ23" s="27">
        <f>VLOOKUP(B23,[1]Sheet1!$A:$N,10,0)</f>
        <v>12.48</v>
      </c>
      <c r="MR23" s="27">
        <f>VLOOKUP(B23,[1]Sheet1!$A:$N,11,0)</f>
        <v>11.41</v>
      </c>
      <c r="MS23" s="27">
        <f>VLOOKUP(B23,[1]Sheet1!$A:$N,12,0)</f>
        <v>11.28</v>
      </c>
      <c r="MT23" s="27">
        <f>VLOOKUP(B23,[1]Sheet1!$A:$N,13,0)</f>
        <v>10.27</v>
      </c>
      <c r="MU23" s="27">
        <f>VLOOKUP(B23,[1]Sheet1!$A:$N,14,0)</f>
        <v>10.94</v>
      </c>
    </row>
    <row r="24" spans="1:359" s="27" customFormat="1" ht="18.75" customHeight="1" x14ac:dyDescent="0.25">
      <c r="A24" s="8" t="s">
        <v>0</v>
      </c>
      <c r="B24" s="8">
        <v>20192</v>
      </c>
      <c r="C24" s="9" t="s">
        <v>20</v>
      </c>
      <c r="D24" s="10" t="s">
        <v>24</v>
      </c>
      <c r="E24" s="10" t="s">
        <v>64</v>
      </c>
      <c r="F24" s="11" t="s">
        <v>46</v>
      </c>
      <c r="G24" s="39" t="s">
        <v>5</v>
      </c>
      <c r="H24" s="41">
        <v>20</v>
      </c>
      <c r="I24" s="13" t="s">
        <v>2</v>
      </c>
      <c r="J24" s="28">
        <v>6.41</v>
      </c>
      <c r="K24" s="15">
        <v>16.409931</v>
      </c>
      <c r="L24" s="15">
        <v>81.002887000000001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2">
        <v>2.7</v>
      </c>
      <c r="GZ24" s="12">
        <v>2.84</v>
      </c>
      <c r="HA24" s="12">
        <v>3.25</v>
      </c>
      <c r="HB24" s="12">
        <v>3.4</v>
      </c>
      <c r="HC24" s="12">
        <v>3.4</v>
      </c>
      <c r="HD24" s="12">
        <v>2.25</v>
      </c>
      <c r="HE24" s="12">
        <v>1.35</v>
      </c>
      <c r="HF24" s="12">
        <v>0.49</v>
      </c>
      <c r="HG24" s="12">
        <v>1.25</v>
      </c>
      <c r="HH24" s="12">
        <v>2.5499999999999998</v>
      </c>
      <c r="HI24" s="12">
        <v>1.98</v>
      </c>
      <c r="HJ24" s="12">
        <v>1.98</v>
      </c>
      <c r="HK24" s="12">
        <v>2.72</v>
      </c>
      <c r="HL24" s="12">
        <v>2.6</v>
      </c>
      <c r="HM24" s="12">
        <v>2.97</v>
      </c>
      <c r="HN24" s="12">
        <v>3.31</v>
      </c>
      <c r="HO24" s="12">
        <v>3.14</v>
      </c>
      <c r="HP24" s="12">
        <v>3.32</v>
      </c>
      <c r="HQ24" s="12">
        <v>1.47</v>
      </c>
      <c r="HR24" s="12">
        <v>1.05</v>
      </c>
      <c r="HS24" s="12">
        <v>1.04</v>
      </c>
      <c r="HT24" s="12">
        <v>1.9</v>
      </c>
      <c r="HU24" s="12">
        <v>1.92</v>
      </c>
      <c r="HV24" s="12">
        <v>2.27</v>
      </c>
      <c r="HW24" s="12">
        <v>2.44</v>
      </c>
      <c r="HX24" s="12">
        <v>3.02</v>
      </c>
      <c r="HY24" s="12">
        <v>3.29</v>
      </c>
      <c r="HZ24" s="12">
        <v>2.9</v>
      </c>
      <c r="IA24" s="12">
        <v>2.99</v>
      </c>
      <c r="IB24" s="12">
        <v>3.02</v>
      </c>
      <c r="IC24" s="12">
        <v>2.34</v>
      </c>
      <c r="ID24" s="12">
        <v>2.81</v>
      </c>
      <c r="IE24" s="12">
        <v>3.7</v>
      </c>
      <c r="IF24" s="12">
        <v>3.84</v>
      </c>
      <c r="IG24" s="12">
        <v>3.74</v>
      </c>
      <c r="IH24" s="12">
        <v>3.83</v>
      </c>
      <c r="II24" s="12">
        <v>3.94</v>
      </c>
      <c r="IJ24" s="12">
        <v>4.0599999999999996</v>
      </c>
      <c r="IK24" s="12">
        <v>4.03</v>
      </c>
      <c r="IL24" s="12">
        <v>3.03</v>
      </c>
      <c r="IM24" s="12">
        <v>3.57</v>
      </c>
      <c r="IN24" s="12">
        <v>3.04</v>
      </c>
      <c r="IO24" s="12">
        <v>1.99</v>
      </c>
      <c r="IP24" s="12">
        <v>1.82</v>
      </c>
      <c r="IQ24" s="12">
        <v>1.94</v>
      </c>
      <c r="IR24" s="12">
        <v>2.31</v>
      </c>
      <c r="IS24" s="12">
        <v>2.5499999999999998</v>
      </c>
      <c r="IT24" s="12">
        <v>2.97</v>
      </c>
      <c r="IU24" s="12">
        <v>3.31</v>
      </c>
      <c r="IV24" s="12">
        <v>3.59</v>
      </c>
      <c r="IW24" s="18">
        <v>3.92</v>
      </c>
      <c r="IX24" s="18">
        <v>3.52</v>
      </c>
      <c r="IY24" s="18">
        <v>3.3</v>
      </c>
      <c r="IZ24" s="19">
        <v>3.35</v>
      </c>
      <c r="JA24" s="20">
        <v>1.99</v>
      </c>
      <c r="JB24" s="20">
        <v>1.49</v>
      </c>
      <c r="JC24" s="20">
        <v>1.86</v>
      </c>
      <c r="JD24" s="20">
        <v>2.4300000000000002</v>
      </c>
      <c r="JE24" s="20">
        <v>2.63</v>
      </c>
      <c r="JF24" s="21">
        <v>3.12</v>
      </c>
      <c r="JG24" s="22">
        <v>3.6</v>
      </c>
      <c r="JH24" s="22">
        <v>3.46</v>
      </c>
      <c r="JI24" s="20">
        <v>3.7</v>
      </c>
      <c r="JJ24" s="23">
        <v>3.99</v>
      </c>
      <c r="JK24" s="24">
        <v>3.41</v>
      </c>
      <c r="JL24" s="24">
        <v>2.2799999999999998</v>
      </c>
      <c r="JM24" s="25">
        <v>2.2000000000000002</v>
      </c>
      <c r="JN24" s="25">
        <v>2.16</v>
      </c>
      <c r="JO24" s="17">
        <v>2.09</v>
      </c>
      <c r="JP24" s="17">
        <v>2.25</v>
      </c>
      <c r="JQ24" s="25">
        <v>2.81</v>
      </c>
      <c r="JR24" s="25">
        <v>3.32</v>
      </c>
      <c r="JS24" s="25">
        <v>3.53</v>
      </c>
      <c r="JT24" s="25">
        <v>3.81</v>
      </c>
      <c r="JU24" s="17">
        <v>5.17</v>
      </c>
      <c r="JV24" s="18">
        <v>4.42</v>
      </c>
      <c r="JW24" s="18">
        <v>3.92</v>
      </c>
      <c r="JX24" s="18">
        <v>3.66</v>
      </c>
      <c r="JY24" s="18">
        <v>2.4300000000000002</v>
      </c>
      <c r="JZ24" s="18">
        <v>1.47</v>
      </c>
      <c r="KA24" s="18">
        <v>1.72</v>
      </c>
      <c r="KB24" s="18">
        <v>2.54</v>
      </c>
      <c r="KC24" s="18">
        <v>2.83</v>
      </c>
      <c r="KD24" s="18">
        <v>3.17</v>
      </c>
      <c r="KE24" s="18">
        <v>3.51</v>
      </c>
      <c r="KF24" s="18">
        <v>3.85</v>
      </c>
      <c r="KG24" s="26">
        <v>3.26</v>
      </c>
      <c r="KH24" s="26">
        <v>3.89</v>
      </c>
      <c r="KI24" s="26">
        <v>3.64</v>
      </c>
      <c r="KJ24" s="26">
        <v>2.67</v>
      </c>
      <c r="KK24" s="26">
        <v>1.77</v>
      </c>
      <c r="KL24" s="18">
        <v>0.99999999999999989</v>
      </c>
      <c r="KM24" s="26">
        <v>1.4900000000000002</v>
      </c>
      <c r="KN24" s="18">
        <v>2.0500000000000003</v>
      </c>
      <c r="KO24" s="18">
        <v>2.68</v>
      </c>
      <c r="KP24" s="18">
        <v>2.7800000000000002</v>
      </c>
      <c r="KQ24" s="18">
        <v>3.3400000000000003</v>
      </c>
      <c r="KR24" s="18">
        <v>3.49</v>
      </c>
      <c r="KS24" s="18">
        <v>3.0100000000000002</v>
      </c>
      <c r="KT24" s="18">
        <v>2.91</v>
      </c>
      <c r="KU24" s="26">
        <v>2.52</v>
      </c>
      <c r="KV24" s="18">
        <v>2.41</v>
      </c>
      <c r="KW24" s="17">
        <v>2.0500000000000003</v>
      </c>
      <c r="KX24" s="17">
        <v>2.39</v>
      </c>
      <c r="KY24" s="18">
        <v>1.5</v>
      </c>
      <c r="KZ24" s="17">
        <v>1.7600000000000002</v>
      </c>
      <c r="LA24" s="17">
        <v>1.85</v>
      </c>
      <c r="LB24" s="17">
        <v>1.88</v>
      </c>
      <c r="LC24" s="17">
        <v>3.5700000000000003</v>
      </c>
      <c r="LD24" s="17">
        <v>4.47</v>
      </c>
      <c r="LE24" s="17">
        <v>3.92</v>
      </c>
      <c r="LF24" s="17">
        <v>4.05</v>
      </c>
      <c r="LG24" s="18">
        <v>3.42</v>
      </c>
      <c r="LH24" s="18">
        <v>3.0200000000000005</v>
      </c>
      <c r="LI24" s="18">
        <v>2.2199999999999998</v>
      </c>
      <c r="LJ24" s="18">
        <v>1.2699999999999998</v>
      </c>
      <c r="LK24" s="18">
        <v>1.6199999999999999</v>
      </c>
      <c r="LL24" s="18">
        <v>2.4799999999999995</v>
      </c>
      <c r="LM24" s="18">
        <v>2.7699999999999996</v>
      </c>
      <c r="LN24" s="18">
        <v>3.1500000000000004</v>
      </c>
      <c r="LO24" s="18">
        <v>3.4800000000000004</v>
      </c>
      <c r="LP24" s="18">
        <v>3.55</v>
      </c>
      <c r="LQ24" s="18">
        <v>3.55</v>
      </c>
      <c r="LR24" s="18">
        <v>3.9000000000000004</v>
      </c>
      <c r="LS24" s="18">
        <v>3.2199999999999998</v>
      </c>
      <c r="LT24" s="18">
        <v>2.0999999999999996</v>
      </c>
      <c r="LU24" s="18">
        <v>1.39</v>
      </c>
      <c r="LV24" s="17">
        <v>1.4599999999999997</v>
      </c>
      <c r="LW24" s="17">
        <v>2.0599999999999996</v>
      </c>
      <c r="LX24" s="17">
        <v>2.13</v>
      </c>
      <c r="LY24" s="17">
        <v>2.41</v>
      </c>
      <c r="LZ24" s="17">
        <v>1.7300000000000002</v>
      </c>
      <c r="MA24" s="17">
        <v>4.01</v>
      </c>
      <c r="MB24" s="17">
        <v>4.2700000000000005</v>
      </c>
      <c r="MC24" s="17">
        <v>4.41</v>
      </c>
      <c r="MD24" s="17">
        <v>4.49</v>
      </c>
      <c r="ME24" s="17">
        <v>4.12</v>
      </c>
      <c r="MF24" s="17">
        <v>3.96</v>
      </c>
      <c r="MG24" s="17">
        <v>2.59</v>
      </c>
      <c r="MH24" s="17">
        <v>1.97</v>
      </c>
      <c r="MI24" s="17">
        <v>2.0300000000000002</v>
      </c>
      <c r="MJ24" s="17">
        <v>2.5099999999999998</v>
      </c>
      <c r="MK24" s="17">
        <v>4.8900000000000006</v>
      </c>
      <c r="ML24" s="17">
        <v>3.24</v>
      </c>
      <c r="MM24" s="27">
        <v>3.6</v>
      </c>
      <c r="MN24" s="27">
        <f>VLOOKUP(B24,[1]Sheet1!$A:$N,7,0)</f>
        <v>4.4400000000000004</v>
      </c>
      <c r="MO24" s="27">
        <f>VLOOKUP(B24,[1]Sheet1!$A:$N,8,0)</f>
        <v>3.96</v>
      </c>
      <c r="MP24" s="27">
        <f>VLOOKUP(B24,[1]Sheet1!$A:$N,9,0)</f>
        <v>4.22</v>
      </c>
      <c r="MQ24" s="27">
        <f>VLOOKUP(B24,[1]Sheet1!$A:$N,10,0)</f>
        <v>4.01</v>
      </c>
      <c r="MR24" s="27">
        <f>VLOOKUP(B24,[1]Sheet1!$A:$N,11,0)</f>
        <v>3.8</v>
      </c>
      <c r="MS24" s="27">
        <f>VLOOKUP(B24,[1]Sheet1!$A:$N,12,0)</f>
        <v>0.98</v>
      </c>
      <c r="MT24" s="27">
        <f>VLOOKUP(B24,[1]Sheet1!$A:$N,13,0)</f>
        <v>0.92</v>
      </c>
      <c r="MU24" s="27">
        <f>VLOOKUP(B24,[1]Sheet1!$A:$N,14,0)</f>
        <v>3.6900000000000004</v>
      </c>
    </row>
    <row r="25" spans="1:359" s="27" customFormat="1" ht="18.75" customHeight="1" x14ac:dyDescent="0.25">
      <c r="A25" s="8" t="s">
        <v>0</v>
      </c>
      <c r="B25" s="8">
        <v>20193</v>
      </c>
      <c r="C25" s="9" t="s">
        <v>20</v>
      </c>
      <c r="D25" s="10" t="s">
        <v>65</v>
      </c>
      <c r="E25" s="10" t="s">
        <v>65</v>
      </c>
      <c r="F25" s="11" t="s">
        <v>28</v>
      </c>
      <c r="G25" s="39" t="s">
        <v>5</v>
      </c>
      <c r="H25" s="41">
        <v>25</v>
      </c>
      <c r="I25" s="13" t="s">
        <v>2</v>
      </c>
      <c r="J25" s="28">
        <v>5.44</v>
      </c>
      <c r="K25" s="15">
        <v>16.216422999999999</v>
      </c>
      <c r="L25" s="15">
        <v>81.086715999999996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2">
        <v>1.85</v>
      </c>
      <c r="GZ25" s="12">
        <v>2.02</v>
      </c>
      <c r="HA25" s="12">
        <v>2.37</v>
      </c>
      <c r="HB25" s="12">
        <v>2.39</v>
      </c>
      <c r="HC25" s="12">
        <v>1.97</v>
      </c>
      <c r="HD25" s="12">
        <v>1.27</v>
      </c>
      <c r="HE25" s="12">
        <v>1</v>
      </c>
      <c r="HF25" s="12">
        <v>0.9</v>
      </c>
      <c r="HG25" s="12">
        <v>0.91</v>
      </c>
      <c r="HH25" s="12">
        <v>1.19</v>
      </c>
      <c r="HI25" s="12">
        <v>1.02</v>
      </c>
      <c r="HJ25" s="12">
        <v>1.1000000000000001</v>
      </c>
      <c r="HK25" s="12">
        <v>0.93</v>
      </c>
      <c r="HL25" s="12">
        <v>1.37</v>
      </c>
      <c r="HM25" s="12">
        <v>1.63</v>
      </c>
      <c r="HN25" s="12">
        <v>1.89</v>
      </c>
      <c r="HO25" s="12">
        <v>1.73</v>
      </c>
      <c r="HP25" s="12">
        <v>0.87</v>
      </c>
      <c r="HQ25" s="12">
        <v>0.85</v>
      </c>
      <c r="HR25" s="12">
        <v>0.82</v>
      </c>
      <c r="HS25" s="12">
        <v>1.17</v>
      </c>
      <c r="HT25" s="12">
        <v>1.32</v>
      </c>
      <c r="HU25" s="12">
        <v>1.38</v>
      </c>
      <c r="HV25" s="12">
        <v>1.77</v>
      </c>
      <c r="HW25" s="12">
        <v>3.17</v>
      </c>
      <c r="HX25" s="12">
        <v>2.11</v>
      </c>
      <c r="HY25" s="12">
        <v>2.25</v>
      </c>
      <c r="HZ25" s="12">
        <v>1.41</v>
      </c>
      <c r="IA25" s="12">
        <v>1.66</v>
      </c>
      <c r="IB25" s="12">
        <v>1.47</v>
      </c>
      <c r="IC25" s="12">
        <v>0.77</v>
      </c>
      <c r="ID25" s="12">
        <v>1</v>
      </c>
      <c r="IE25" s="12">
        <v>0.79</v>
      </c>
      <c r="IF25" s="12">
        <v>1.1399999999999999</v>
      </c>
      <c r="IG25" s="12">
        <v>1.53</v>
      </c>
      <c r="IH25" s="12">
        <v>1.8</v>
      </c>
      <c r="II25" s="12">
        <v>2.0299999999999998</v>
      </c>
      <c r="IJ25" s="12">
        <v>2.19</v>
      </c>
      <c r="IK25" s="12">
        <v>1.93</v>
      </c>
      <c r="IL25" s="12">
        <v>1.23</v>
      </c>
      <c r="IM25" s="12">
        <v>1.6</v>
      </c>
      <c r="IN25" s="12">
        <v>1.3</v>
      </c>
      <c r="IO25" s="12">
        <v>0.8</v>
      </c>
      <c r="IP25" s="12">
        <v>1.03</v>
      </c>
      <c r="IQ25" s="12">
        <v>1.07</v>
      </c>
      <c r="IR25" s="12">
        <v>1.23</v>
      </c>
      <c r="IS25" s="12">
        <v>1.52</v>
      </c>
      <c r="IT25" s="12">
        <v>1.75</v>
      </c>
      <c r="IU25" s="12">
        <v>2.0099999999999998</v>
      </c>
      <c r="IV25" s="12">
        <v>2.17</v>
      </c>
      <c r="IW25" s="18">
        <v>2.37</v>
      </c>
      <c r="IX25" s="18">
        <v>2.14</v>
      </c>
      <c r="IY25" s="18">
        <v>1.3</v>
      </c>
      <c r="IZ25" s="19">
        <v>1.23</v>
      </c>
      <c r="JA25" s="20">
        <v>1.1599999999999999</v>
      </c>
      <c r="JB25" s="20">
        <v>0.97</v>
      </c>
      <c r="JC25" s="20">
        <v>1.39</v>
      </c>
      <c r="JD25" s="20">
        <v>1.69</v>
      </c>
      <c r="JE25" s="20">
        <v>1.91</v>
      </c>
      <c r="JF25" s="21">
        <v>2.08</v>
      </c>
      <c r="JG25" s="22">
        <v>2.19</v>
      </c>
      <c r="JH25" s="22">
        <v>2.33</v>
      </c>
      <c r="JI25" s="20">
        <v>2.41</v>
      </c>
      <c r="JJ25" s="23">
        <v>2.14</v>
      </c>
      <c r="JK25" s="24">
        <v>1.54</v>
      </c>
      <c r="JL25" s="24">
        <v>0.71</v>
      </c>
      <c r="JM25" s="25">
        <v>0.94</v>
      </c>
      <c r="JN25" s="25">
        <v>1.05</v>
      </c>
      <c r="JO25" s="17">
        <v>1.1200000000000001</v>
      </c>
      <c r="JP25" s="17">
        <v>1.34</v>
      </c>
      <c r="JQ25" s="25">
        <v>1.59</v>
      </c>
      <c r="JR25" s="25">
        <v>1.91</v>
      </c>
      <c r="JS25" s="25">
        <v>2.0699999999999998</v>
      </c>
      <c r="JT25" s="25">
        <v>2.04</v>
      </c>
      <c r="JU25" s="17">
        <v>3.39</v>
      </c>
      <c r="JV25" s="18">
        <v>2.5499999999999998</v>
      </c>
      <c r="JW25" s="18">
        <v>2.41</v>
      </c>
      <c r="JX25" s="18">
        <v>1.45</v>
      </c>
      <c r="JY25" s="18">
        <v>0.91</v>
      </c>
      <c r="JZ25" s="18">
        <v>0.55000000000000004</v>
      </c>
      <c r="KA25" s="18">
        <v>1.1499999999999999</v>
      </c>
      <c r="KB25" s="18">
        <v>1.7</v>
      </c>
      <c r="KC25" s="18">
        <v>1.86</v>
      </c>
      <c r="KD25" s="18">
        <v>1.22</v>
      </c>
      <c r="KE25" s="18">
        <v>0.57999999999999996</v>
      </c>
      <c r="KF25" s="18">
        <v>0.87333333333333296</v>
      </c>
      <c r="KG25" s="26">
        <v>1.85</v>
      </c>
      <c r="KH25" s="26">
        <v>1.99</v>
      </c>
      <c r="KI25" s="26">
        <v>1.17</v>
      </c>
      <c r="KJ25" s="26">
        <v>0.77</v>
      </c>
      <c r="KK25" s="26">
        <v>0.47</v>
      </c>
      <c r="KL25" s="18">
        <v>0.6100000000000001</v>
      </c>
      <c r="KM25" s="26">
        <v>1</v>
      </c>
      <c r="KN25" s="18">
        <v>1.1500000000000001</v>
      </c>
      <c r="KO25" s="18">
        <v>1.6900000000000002</v>
      </c>
      <c r="KP25" s="18">
        <v>1.25</v>
      </c>
      <c r="KQ25" s="18">
        <v>1.26</v>
      </c>
      <c r="KR25" s="18">
        <v>1.46</v>
      </c>
      <c r="KS25" s="18">
        <v>1.6500000000000001</v>
      </c>
      <c r="KT25" s="18">
        <v>1.8699999999999999</v>
      </c>
      <c r="KU25" s="26">
        <v>1.5999999999999999</v>
      </c>
      <c r="KV25" s="18">
        <v>1.03</v>
      </c>
      <c r="KW25" s="17">
        <v>1.26</v>
      </c>
      <c r="KX25" s="17">
        <v>1.18</v>
      </c>
      <c r="KY25" s="18">
        <v>0.59000000000000008</v>
      </c>
      <c r="KZ25" s="17">
        <v>0.78</v>
      </c>
      <c r="LA25" s="17">
        <v>0.91000000000000014</v>
      </c>
      <c r="LB25" s="17">
        <v>1.1100000000000001</v>
      </c>
      <c r="LC25" s="17">
        <v>1.95</v>
      </c>
      <c r="LD25" s="17">
        <v>2.67</v>
      </c>
      <c r="LE25" s="17">
        <v>1.7300000000000002</v>
      </c>
      <c r="LF25" s="17">
        <v>1.9400000000000002</v>
      </c>
      <c r="LG25" s="18">
        <v>1.4900000000000002</v>
      </c>
      <c r="LH25" s="18">
        <v>0.99</v>
      </c>
      <c r="LI25" s="18">
        <v>1.06</v>
      </c>
      <c r="LJ25" s="18">
        <v>0.6100000000000001</v>
      </c>
      <c r="LK25" s="18">
        <v>1.0900000000000001</v>
      </c>
      <c r="LL25" s="18">
        <v>1.33</v>
      </c>
      <c r="LM25" s="18">
        <v>1.5999999999999999</v>
      </c>
      <c r="LN25" s="18">
        <v>1.8499999999999999</v>
      </c>
      <c r="LO25" s="18">
        <v>1.9000000000000001</v>
      </c>
      <c r="LP25" s="18">
        <v>1.9800000000000002</v>
      </c>
      <c r="LQ25" s="18">
        <v>2.04</v>
      </c>
      <c r="LR25" s="18">
        <v>2.25</v>
      </c>
      <c r="LS25" s="18">
        <v>0.55000000000000004</v>
      </c>
      <c r="LT25" s="18">
        <v>0.85000000000000009</v>
      </c>
      <c r="LU25" s="18">
        <v>0.78</v>
      </c>
      <c r="LV25" s="17">
        <v>0.81</v>
      </c>
      <c r="LW25" s="17">
        <v>1.01</v>
      </c>
      <c r="LX25" s="17">
        <v>0.92000000000000015</v>
      </c>
      <c r="LY25" s="17">
        <v>1.32</v>
      </c>
      <c r="LZ25" s="17">
        <v>1.61</v>
      </c>
      <c r="MA25" s="17">
        <v>1.8</v>
      </c>
      <c r="MB25" s="17">
        <v>2.06</v>
      </c>
      <c r="MC25" s="17">
        <v>1.99</v>
      </c>
      <c r="MD25" s="17">
        <v>2.06</v>
      </c>
      <c r="ME25" s="17">
        <v>1.07</v>
      </c>
      <c r="MF25" s="17">
        <v>1.1700000000000002</v>
      </c>
      <c r="MG25" s="17">
        <v>2.17</v>
      </c>
      <c r="MH25" s="17">
        <v>0.73</v>
      </c>
      <c r="MI25" s="17">
        <v>1.01</v>
      </c>
      <c r="MJ25" s="17">
        <v>1.25</v>
      </c>
      <c r="MK25" s="17">
        <v>1.57</v>
      </c>
      <c r="ML25" s="17">
        <v>1.74</v>
      </c>
      <c r="MM25" s="27">
        <v>1.99</v>
      </c>
      <c r="MN25" s="27">
        <f>VLOOKUP(B25,[1]Sheet1!$A:$N,7,0)</f>
        <v>2.2200000000000002</v>
      </c>
      <c r="MO25" s="27">
        <f>VLOOKUP(B25,[1]Sheet1!$A:$N,8,0)</f>
        <v>1.1700000000000002</v>
      </c>
      <c r="MP25" s="27">
        <f>VLOOKUP(B25,[1]Sheet1!$A:$N,9,0)</f>
        <v>2.02</v>
      </c>
      <c r="MQ25" s="27">
        <f>VLOOKUP(B25,[1]Sheet1!$A:$N,10,0)</f>
        <v>1.8699999999999999</v>
      </c>
      <c r="MR25" s="27">
        <f>VLOOKUP(B25,[1]Sheet1!$A:$N,11,0)</f>
        <v>1.1300000000000001</v>
      </c>
      <c r="MS25" s="27">
        <f>VLOOKUP(B25,[1]Sheet1!$A:$N,12,0)</f>
        <v>0.9</v>
      </c>
      <c r="MT25" s="27">
        <f>VLOOKUP(B25,[1]Sheet1!$A:$N,13,0)</f>
        <v>1.02</v>
      </c>
      <c r="MU25" s="27">
        <f>VLOOKUP(B25,[1]Sheet1!$A:$N,14,0)</f>
        <v>1.7300000000000002</v>
      </c>
    </row>
    <row r="26" spans="1:359" s="27" customFormat="1" ht="18.75" customHeight="1" x14ac:dyDescent="0.25">
      <c r="A26" s="8" t="s">
        <v>0</v>
      </c>
      <c r="B26" s="8">
        <v>20194</v>
      </c>
      <c r="C26" s="9" t="s">
        <v>20</v>
      </c>
      <c r="D26" s="10" t="s">
        <v>66</v>
      </c>
      <c r="E26" s="10" t="s">
        <v>66</v>
      </c>
      <c r="F26" s="11" t="s">
        <v>67</v>
      </c>
      <c r="G26" s="39" t="s">
        <v>5</v>
      </c>
      <c r="H26" s="41">
        <v>25</v>
      </c>
      <c r="I26" s="13" t="s">
        <v>2</v>
      </c>
      <c r="J26" s="28">
        <v>3.23</v>
      </c>
      <c r="K26" s="15">
        <v>16.368127000000001</v>
      </c>
      <c r="L26" s="15">
        <v>81.373636000000005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2">
        <v>1.1299999999999999</v>
      </c>
      <c r="GZ26" s="12">
        <v>1.28</v>
      </c>
      <c r="HA26" s="12">
        <v>1.23</v>
      </c>
      <c r="HB26" s="12">
        <v>1.21</v>
      </c>
      <c r="HC26" s="12">
        <v>0.94</v>
      </c>
      <c r="HD26" s="12">
        <v>0.88</v>
      </c>
      <c r="HE26" s="12">
        <v>0.8</v>
      </c>
      <c r="HF26" s="12">
        <v>0.57999999999999996</v>
      </c>
      <c r="HG26" s="12">
        <v>0.9</v>
      </c>
      <c r="HH26" s="12">
        <v>3.52</v>
      </c>
      <c r="HI26" s="12">
        <v>1.4</v>
      </c>
      <c r="HJ26" s="12">
        <v>0.6</v>
      </c>
      <c r="HK26" s="12">
        <v>1.0900000000000001</v>
      </c>
      <c r="HL26" s="12">
        <v>1.03</v>
      </c>
      <c r="HM26" s="12">
        <v>1.1299999999999999</v>
      </c>
      <c r="HN26" s="12">
        <v>1.22</v>
      </c>
      <c r="HO26" s="12">
        <v>1.36</v>
      </c>
      <c r="HP26" s="12">
        <v>1.1100000000000001</v>
      </c>
      <c r="HQ26" s="12">
        <v>1.1100000000000001</v>
      </c>
      <c r="HR26" s="12">
        <v>0.83</v>
      </c>
      <c r="HS26" s="12">
        <v>0.53</v>
      </c>
      <c r="HT26" s="12">
        <v>1.03</v>
      </c>
      <c r="HU26" s="12">
        <v>1.1100000000000001</v>
      </c>
      <c r="HV26" s="12">
        <v>1.08</v>
      </c>
      <c r="HW26" s="12">
        <v>1.1000000000000001</v>
      </c>
      <c r="HX26" s="12">
        <v>1.06</v>
      </c>
      <c r="HY26" s="12">
        <v>1.04</v>
      </c>
      <c r="HZ26" s="12">
        <v>0.73</v>
      </c>
      <c r="IA26" s="12">
        <v>1.04</v>
      </c>
      <c r="IB26" s="12">
        <v>0.97</v>
      </c>
      <c r="IC26" s="12">
        <v>1.08</v>
      </c>
      <c r="ID26" s="12">
        <v>1.22</v>
      </c>
      <c r="IE26" s="12">
        <v>0.65</v>
      </c>
      <c r="IF26" s="12">
        <v>0.89</v>
      </c>
      <c r="IG26" s="12">
        <v>1.19</v>
      </c>
      <c r="IH26" s="12">
        <v>1.1499999999999999</v>
      </c>
      <c r="II26" s="12">
        <v>1.25</v>
      </c>
      <c r="IJ26" s="12">
        <v>1.23</v>
      </c>
      <c r="IK26" s="12">
        <v>1.1000000000000001</v>
      </c>
      <c r="IL26" s="12">
        <v>0.63</v>
      </c>
      <c r="IM26" s="12">
        <v>0.95</v>
      </c>
      <c r="IN26" s="12">
        <v>1.2</v>
      </c>
      <c r="IO26" s="12">
        <v>0.82</v>
      </c>
      <c r="IP26" s="12">
        <v>0.9</v>
      </c>
      <c r="IQ26" s="12">
        <v>0.94</v>
      </c>
      <c r="IR26" s="12">
        <v>1.04</v>
      </c>
      <c r="IS26" s="12">
        <v>1.2</v>
      </c>
      <c r="IT26" s="12">
        <v>1.23</v>
      </c>
      <c r="IU26" s="12">
        <v>1.3</v>
      </c>
      <c r="IV26" s="12">
        <v>1.32</v>
      </c>
      <c r="IW26" s="18">
        <v>1.4</v>
      </c>
      <c r="IX26" s="18">
        <v>1.18</v>
      </c>
      <c r="IY26" s="18">
        <v>1.06</v>
      </c>
      <c r="IZ26" s="19">
        <v>0.88</v>
      </c>
      <c r="JA26" s="20">
        <v>0.97</v>
      </c>
      <c r="JB26" s="20">
        <v>0.64</v>
      </c>
      <c r="JC26" s="20">
        <v>0.83</v>
      </c>
      <c r="JD26" s="20">
        <v>1.06</v>
      </c>
      <c r="JE26" s="20">
        <v>1.1299999999999999</v>
      </c>
      <c r="JF26" s="21">
        <v>1.21</v>
      </c>
      <c r="JG26" s="22">
        <v>1.29</v>
      </c>
      <c r="JH26" s="22">
        <v>1.33</v>
      </c>
      <c r="JI26" s="20">
        <v>1.37</v>
      </c>
      <c r="JJ26" s="23">
        <v>1.42</v>
      </c>
      <c r="JK26" s="24">
        <v>0.82</v>
      </c>
      <c r="JL26" s="24">
        <v>0.75</v>
      </c>
      <c r="JM26" s="25">
        <v>0.93</v>
      </c>
      <c r="JN26" s="25">
        <v>1.04</v>
      </c>
      <c r="JO26" s="17">
        <v>1.08</v>
      </c>
      <c r="JP26" s="17">
        <v>0.93</v>
      </c>
      <c r="JQ26" s="25">
        <v>1.07</v>
      </c>
      <c r="JR26" s="25">
        <v>1.1200000000000001</v>
      </c>
      <c r="JS26" s="25">
        <v>1.1399999999999999</v>
      </c>
      <c r="JT26" s="25">
        <v>1.31</v>
      </c>
      <c r="JU26" s="17">
        <v>2.4300000000000002</v>
      </c>
      <c r="JV26" s="18">
        <v>1.35</v>
      </c>
      <c r="JW26" s="18">
        <v>0.84</v>
      </c>
      <c r="JX26" s="18">
        <v>0.9</v>
      </c>
      <c r="JY26" s="18">
        <v>0.89</v>
      </c>
      <c r="JZ26" s="18">
        <v>0.48</v>
      </c>
      <c r="KA26" s="18">
        <v>0.93</v>
      </c>
      <c r="KB26" s="18">
        <v>0.81</v>
      </c>
      <c r="KC26" s="18">
        <v>1.1200000000000001</v>
      </c>
      <c r="KD26" s="18">
        <v>1.08</v>
      </c>
      <c r="KE26" s="18">
        <v>1.04</v>
      </c>
      <c r="KF26" s="18">
        <v>1</v>
      </c>
      <c r="KG26" s="26">
        <v>2.5099999999999998</v>
      </c>
      <c r="KH26" s="26">
        <v>0.77</v>
      </c>
      <c r="KI26" s="26">
        <v>0.46</v>
      </c>
      <c r="KJ26" s="26">
        <v>0.59</v>
      </c>
      <c r="KK26" s="26">
        <v>0.52</v>
      </c>
      <c r="KL26" s="18">
        <v>0.41000000000000003</v>
      </c>
      <c r="KM26" s="26">
        <v>0.67</v>
      </c>
      <c r="KN26" s="18">
        <v>1.02</v>
      </c>
      <c r="KO26" s="18">
        <v>0.87</v>
      </c>
      <c r="KP26" s="18">
        <v>0.69000000000000006</v>
      </c>
      <c r="KQ26" s="18">
        <v>1.19</v>
      </c>
      <c r="KR26" s="18">
        <v>1.2799999999999998</v>
      </c>
      <c r="KS26" s="18">
        <v>0.42000000000000004</v>
      </c>
      <c r="KT26" s="18">
        <v>0.53999999999999992</v>
      </c>
      <c r="KU26" s="26">
        <v>0.55999999999999994</v>
      </c>
      <c r="KV26" s="18">
        <v>0.38</v>
      </c>
      <c r="KW26" s="17">
        <v>0.14000000000000001</v>
      </c>
      <c r="KX26" s="17">
        <v>0.21999999999999997</v>
      </c>
      <c r="KY26" s="18">
        <v>0.57999999999999996</v>
      </c>
      <c r="KZ26" s="17">
        <v>0.82</v>
      </c>
      <c r="LA26" s="17">
        <v>0.96999999999999986</v>
      </c>
      <c r="LB26" s="17">
        <v>1.0499999999999998</v>
      </c>
      <c r="LC26" s="17">
        <v>1.23</v>
      </c>
      <c r="LD26" s="17">
        <v>1.87</v>
      </c>
      <c r="LE26" s="17">
        <v>1.1499999999999999</v>
      </c>
      <c r="LF26" s="17">
        <v>0.96999999999999986</v>
      </c>
      <c r="LG26" s="18">
        <v>0.29999999999999982</v>
      </c>
      <c r="LH26" s="18">
        <v>0.77999999999999992</v>
      </c>
      <c r="LI26" s="18">
        <v>0.69000000000000006</v>
      </c>
      <c r="LJ26" s="18">
        <v>0.5099999999999999</v>
      </c>
      <c r="LK26" s="18">
        <v>0.9900000000000001</v>
      </c>
      <c r="LL26" s="18">
        <v>0.93</v>
      </c>
      <c r="LM26" s="18">
        <v>1.19</v>
      </c>
      <c r="LN26" s="18">
        <v>1.1099999999999999</v>
      </c>
      <c r="LO26" s="18">
        <v>1.2599999999999998</v>
      </c>
      <c r="LP26" s="18">
        <v>1.1499999999999999</v>
      </c>
      <c r="LQ26" s="18">
        <v>1.35</v>
      </c>
      <c r="LR26" s="18">
        <v>1.5300000000000002</v>
      </c>
      <c r="LS26" s="18">
        <v>1.1499999999999999</v>
      </c>
      <c r="LT26" s="18">
        <v>1.23</v>
      </c>
      <c r="LU26" s="18">
        <v>0.97999999999999987</v>
      </c>
      <c r="LV26" s="17">
        <v>1.1299999999999999</v>
      </c>
      <c r="LW26" s="17">
        <v>0.97000000000000008</v>
      </c>
      <c r="LX26" s="17">
        <v>0.73000000000000009</v>
      </c>
      <c r="LY26" s="17">
        <v>0.9</v>
      </c>
      <c r="LZ26" s="17">
        <v>1.1000000000000001</v>
      </c>
      <c r="MA26" s="17">
        <v>1.26</v>
      </c>
      <c r="MB26" s="17">
        <v>1.3200000000000003</v>
      </c>
      <c r="MC26" s="17">
        <v>1.3600000000000003</v>
      </c>
      <c r="MD26" s="17">
        <v>1.19</v>
      </c>
      <c r="ME26" s="17">
        <v>0.79999999999999993</v>
      </c>
      <c r="MF26" s="17">
        <v>0.9900000000000001</v>
      </c>
      <c r="MG26" s="17">
        <v>0.70000000000000007</v>
      </c>
      <c r="MH26" s="17">
        <v>0.55999999999999994</v>
      </c>
      <c r="MI26" s="17">
        <v>0.9</v>
      </c>
      <c r="MJ26" s="17">
        <v>1.1400000000000001</v>
      </c>
      <c r="MK26" s="17">
        <v>1.06</v>
      </c>
      <c r="ML26" s="17">
        <v>1.1299999999999999</v>
      </c>
      <c r="MM26" s="27">
        <v>1.1599999999999999</v>
      </c>
      <c r="MN26" s="27">
        <f>VLOOKUP(B26,[1]Sheet1!$A:$N,7,0)</f>
        <v>1.21</v>
      </c>
      <c r="MO26" s="27">
        <f>VLOOKUP(B26,[1]Sheet1!$A:$N,8,0)</f>
        <v>0.9900000000000001</v>
      </c>
      <c r="MP26" s="27">
        <f>VLOOKUP(B26,[1]Sheet1!$A:$N,9,0)</f>
        <v>1</v>
      </c>
      <c r="MQ26" s="27">
        <f>VLOOKUP(B26,[1]Sheet1!$A:$N,10,0)</f>
        <v>1.1499999999999999</v>
      </c>
      <c r="MR26" s="27">
        <f>VLOOKUP(B26,[1]Sheet1!$A:$N,11,0)</f>
        <v>0.91</v>
      </c>
      <c r="MS26" s="27">
        <f>VLOOKUP(B26,[1]Sheet1!$A:$N,12,0)</f>
        <v>0.72</v>
      </c>
      <c r="MT26" s="27">
        <f>VLOOKUP(B26,[1]Sheet1!$A:$N,13,0)</f>
        <v>0.65</v>
      </c>
      <c r="MU26" s="27">
        <f>VLOOKUP(B26,[1]Sheet1!$A:$N,14,0)</f>
        <v>0.93</v>
      </c>
    </row>
    <row r="27" spans="1:359" s="27" customFormat="1" ht="18.75" customHeight="1" x14ac:dyDescent="0.25">
      <c r="A27" s="8" t="s">
        <v>0</v>
      </c>
      <c r="B27" s="8">
        <v>20195</v>
      </c>
      <c r="C27" s="9" t="s">
        <v>20</v>
      </c>
      <c r="D27" s="10" t="s">
        <v>68</v>
      </c>
      <c r="E27" s="10" t="s">
        <v>68</v>
      </c>
      <c r="F27" s="11" t="s">
        <v>67</v>
      </c>
      <c r="G27" s="39" t="s">
        <v>5</v>
      </c>
      <c r="H27" s="41">
        <v>25</v>
      </c>
      <c r="I27" s="13" t="s">
        <v>2</v>
      </c>
      <c r="J27" s="28">
        <v>3.29</v>
      </c>
      <c r="K27" s="15">
        <v>16.201464000000001</v>
      </c>
      <c r="L27" s="15">
        <v>81.136436000000003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2">
        <v>0.9</v>
      </c>
      <c r="GZ27" s="12">
        <v>1.06</v>
      </c>
      <c r="HA27" s="12">
        <v>1.28</v>
      </c>
      <c r="HB27" s="12">
        <v>1.1499999999999999</v>
      </c>
      <c r="HC27" s="12">
        <v>0.33</v>
      </c>
      <c r="HD27" s="12">
        <v>0.42</v>
      </c>
      <c r="HE27" s="12">
        <v>0.31</v>
      </c>
      <c r="HF27" s="12">
        <v>0.01</v>
      </c>
      <c r="HG27" s="12">
        <v>0.04</v>
      </c>
      <c r="HH27" s="12">
        <v>0.28000000000000003</v>
      </c>
      <c r="HI27" s="12">
        <v>0.41</v>
      </c>
      <c r="HJ27" s="12">
        <v>0.65</v>
      </c>
      <c r="HK27" s="12">
        <v>0.87</v>
      </c>
      <c r="HL27" s="12">
        <v>1.05</v>
      </c>
      <c r="HM27" s="12">
        <v>1.05</v>
      </c>
      <c r="HN27" s="12">
        <v>1.28</v>
      </c>
      <c r="HO27" s="12">
        <v>0.8</v>
      </c>
      <c r="HP27" s="12">
        <v>0.02</v>
      </c>
      <c r="HQ27" s="12">
        <v>0.03</v>
      </c>
      <c r="HR27" s="12">
        <v>0.01</v>
      </c>
      <c r="HS27" s="12">
        <v>0.05</v>
      </c>
      <c r="HT27" s="12">
        <v>0.4</v>
      </c>
      <c r="HU27" s="12">
        <v>0.52</v>
      </c>
      <c r="HV27" s="12">
        <v>0.79</v>
      </c>
      <c r="HW27" s="12">
        <v>0.91</v>
      </c>
      <c r="HX27" s="12">
        <v>1.1499999999999999</v>
      </c>
      <c r="HY27" s="12">
        <v>1.31</v>
      </c>
      <c r="HZ27" s="12">
        <v>0.1</v>
      </c>
      <c r="IA27" s="12">
        <v>0.68</v>
      </c>
      <c r="IB27" s="12">
        <v>0.28000000000000003</v>
      </c>
      <c r="IC27" s="12">
        <v>0.05</v>
      </c>
      <c r="ID27" s="12">
        <v>0.28999999999999998</v>
      </c>
      <c r="IE27" s="12">
        <v>0.03</v>
      </c>
      <c r="IF27" s="12">
        <v>0.14000000000000001</v>
      </c>
      <c r="IG27" s="12">
        <v>0.61</v>
      </c>
      <c r="IH27" s="12">
        <v>0.96</v>
      </c>
      <c r="II27" s="12">
        <v>1.02</v>
      </c>
      <c r="IJ27" s="12">
        <v>1.17</v>
      </c>
      <c r="IK27" s="12">
        <v>0.56999999999999995</v>
      </c>
      <c r="IL27" s="12">
        <v>0.02</v>
      </c>
      <c r="IM27" s="12">
        <v>0.22</v>
      </c>
      <c r="IN27" s="12">
        <v>0.05</v>
      </c>
      <c r="IO27" s="12">
        <v>0.01</v>
      </c>
      <c r="IP27" s="12">
        <v>0.14000000000000001</v>
      </c>
      <c r="IQ27" s="12">
        <v>0.37</v>
      </c>
      <c r="IR27" s="12">
        <v>0.46</v>
      </c>
      <c r="IS27" s="12">
        <v>0.67</v>
      </c>
      <c r="IT27" s="12">
        <v>0.86</v>
      </c>
      <c r="IU27" s="12">
        <v>1.07</v>
      </c>
      <c r="IV27" s="12">
        <v>1.23</v>
      </c>
      <c r="IW27" s="18">
        <v>1.4</v>
      </c>
      <c r="IX27" s="18">
        <v>0.8</v>
      </c>
      <c r="IY27" s="18">
        <v>0.17</v>
      </c>
      <c r="IZ27" s="19">
        <v>0.25</v>
      </c>
      <c r="JA27" s="20">
        <v>0.57999999999999996</v>
      </c>
      <c r="JB27" s="20">
        <v>0.41</v>
      </c>
      <c r="JC27" s="20">
        <v>0.74</v>
      </c>
      <c r="JD27" s="20">
        <v>0.82</v>
      </c>
      <c r="JE27" s="20">
        <v>0.96</v>
      </c>
      <c r="JF27" s="21">
        <v>1.1000000000000001</v>
      </c>
      <c r="JG27" s="22">
        <v>1.2</v>
      </c>
      <c r="JH27" s="22">
        <v>1.39</v>
      </c>
      <c r="JI27" s="20">
        <v>1.52</v>
      </c>
      <c r="JJ27" s="23">
        <v>0.91</v>
      </c>
      <c r="JK27" s="24">
        <v>0.05</v>
      </c>
      <c r="JL27" s="24">
        <v>0.05</v>
      </c>
      <c r="JM27" s="25">
        <v>0.05</v>
      </c>
      <c r="JN27" s="25">
        <v>0.15</v>
      </c>
      <c r="JO27" s="17">
        <v>0.02</v>
      </c>
      <c r="JP27" s="17">
        <v>0.06</v>
      </c>
      <c r="JQ27" s="25">
        <v>0.37</v>
      </c>
      <c r="JR27" s="25">
        <v>0.83</v>
      </c>
      <c r="JS27" s="25">
        <v>1.01</v>
      </c>
      <c r="JT27" s="25">
        <v>1.1399999999999999</v>
      </c>
      <c r="JU27" s="17">
        <v>2.27</v>
      </c>
      <c r="JV27" s="18">
        <v>1.38</v>
      </c>
      <c r="JW27" s="18">
        <v>0.69</v>
      </c>
      <c r="JX27" s="18">
        <v>0.31</v>
      </c>
      <c r="JY27" s="18">
        <v>7.0000000000000007E-2</v>
      </c>
      <c r="JZ27" s="18">
        <v>0.03</v>
      </c>
      <c r="KA27" s="18">
        <v>0.03</v>
      </c>
      <c r="KB27" s="18">
        <v>0.09</v>
      </c>
      <c r="KC27" s="18">
        <v>0.34</v>
      </c>
      <c r="KD27" s="18">
        <v>0.85</v>
      </c>
      <c r="KE27" s="18">
        <v>1.36</v>
      </c>
      <c r="KF27" s="18">
        <v>1.87</v>
      </c>
      <c r="KG27" s="26">
        <v>1.33</v>
      </c>
      <c r="KH27" s="26">
        <v>1.1100000000000001</v>
      </c>
      <c r="KI27" s="26">
        <v>0.16</v>
      </c>
      <c r="KJ27" s="26">
        <v>0.12</v>
      </c>
      <c r="KK27" s="26">
        <v>0.1</v>
      </c>
      <c r="KL27" s="18">
        <v>0.18000000000000005</v>
      </c>
      <c r="KM27" s="26">
        <v>3.0000000000000027E-2</v>
      </c>
      <c r="KN27" s="18">
        <v>6.0000000000000053E-2</v>
      </c>
      <c r="KO27" s="18">
        <v>0.19000000000000006</v>
      </c>
      <c r="KP27" s="18">
        <v>0.48000000000000009</v>
      </c>
      <c r="KQ27" s="18">
        <v>0.93</v>
      </c>
      <c r="KR27" s="18">
        <v>1.06</v>
      </c>
      <c r="KS27" s="18">
        <v>0.92</v>
      </c>
      <c r="KT27" s="18">
        <v>0.80999999999999994</v>
      </c>
      <c r="KU27" s="26">
        <v>0.26</v>
      </c>
      <c r="KV27" s="18">
        <v>0.19999999999999996</v>
      </c>
      <c r="KW27" s="17">
        <v>0.16000000000000003</v>
      </c>
      <c r="KX27" s="17">
        <v>0.21999999999999997</v>
      </c>
      <c r="KY27" s="18">
        <v>6.9999999999999951E-2</v>
      </c>
      <c r="KZ27" s="17">
        <v>0.33999999999999997</v>
      </c>
      <c r="LA27" s="17">
        <v>0.26</v>
      </c>
      <c r="LB27" s="17">
        <v>0.5099999999999999</v>
      </c>
      <c r="LC27" s="17">
        <v>0.88</v>
      </c>
      <c r="LD27" s="17">
        <v>1.7400000000000002</v>
      </c>
      <c r="LE27" s="17">
        <v>1.06</v>
      </c>
      <c r="LF27" s="17">
        <v>1.08</v>
      </c>
      <c r="LG27" s="18">
        <v>0.46000000000000008</v>
      </c>
      <c r="LH27" s="18">
        <v>0.19999999999999996</v>
      </c>
      <c r="LI27" s="18">
        <v>0.47000000000000008</v>
      </c>
      <c r="LJ27" s="18">
        <v>0.37</v>
      </c>
      <c r="LK27" s="18">
        <v>0.08</v>
      </c>
      <c r="LL27" s="18">
        <v>0.28000000000000003</v>
      </c>
      <c r="LM27" s="18">
        <v>1.1000000000000001</v>
      </c>
      <c r="LN27" s="18">
        <v>0.7599999999999999</v>
      </c>
      <c r="LO27" s="18">
        <v>0.78</v>
      </c>
      <c r="LP27" s="18">
        <v>1.04</v>
      </c>
      <c r="LQ27" s="18">
        <v>1.2000000000000002</v>
      </c>
      <c r="LR27" s="18">
        <v>1.02</v>
      </c>
      <c r="LS27" s="18">
        <v>0.12</v>
      </c>
      <c r="LT27" s="18">
        <v>0.22000000000000008</v>
      </c>
      <c r="LU27" s="18">
        <v>0.27999999999999992</v>
      </c>
      <c r="LV27" s="17">
        <v>0.62</v>
      </c>
      <c r="LW27" s="17">
        <v>0.98999999999999988</v>
      </c>
      <c r="LX27" s="17">
        <v>0.67</v>
      </c>
      <c r="LY27" s="17">
        <v>0.15000000000000002</v>
      </c>
      <c r="LZ27" s="17">
        <v>0.54999999999999993</v>
      </c>
      <c r="MA27" s="17">
        <v>0.97</v>
      </c>
      <c r="MB27" s="17">
        <v>1.3599999999999999</v>
      </c>
      <c r="MC27" s="17">
        <v>0.59</v>
      </c>
      <c r="MD27" s="17">
        <v>0.47999999999999987</v>
      </c>
      <c r="ME27" s="17">
        <v>0</v>
      </c>
      <c r="MF27" s="17">
        <v>0.15000000000000002</v>
      </c>
      <c r="MG27" s="17">
        <v>0</v>
      </c>
      <c r="MH27" s="17">
        <v>0</v>
      </c>
      <c r="MI27" s="17">
        <v>0.22000000000000008</v>
      </c>
      <c r="MJ27" s="17">
        <v>0.31999999999999995</v>
      </c>
      <c r="MK27" s="17">
        <v>0.6</v>
      </c>
      <c r="ML27" s="17">
        <v>0.49999999999999989</v>
      </c>
      <c r="MM27" s="27">
        <v>0.94</v>
      </c>
      <c r="MN27" s="27">
        <f>VLOOKUP(B27,[1]Sheet1!$A:$N,7,0)</f>
        <v>1.1100000000000001</v>
      </c>
      <c r="MO27" s="27">
        <f>VLOOKUP(B27,[1]Sheet1!$A:$N,8,0)</f>
        <v>0.15000000000000002</v>
      </c>
      <c r="MP27" s="27">
        <f>VLOOKUP(B27,[1]Sheet1!$A:$N,9,0)</f>
        <v>0.59</v>
      </c>
      <c r="MQ27" s="27">
        <f>VLOOKUP(B27,[1]Sheet1!$A:$N,10,0)</f>
        <v>0.44000000000000006</v>
      </c>
      <c r="MR27" s="27">
        <f>VLOOKUP(B27,[1]Sheet1!$A:$N,11,0)</f>
        <v>0.16000000000000003</v>
      </c>
      <c r="MS27" s="27">
        <f>VLOOKUP(B27,[1]Sheet1!$A:$N,12,0)</f>
        <v>0</v>
      </c>
      <c r="MT27" s="27">
        <f>VLOOKUP(B27,[1]Sheet1!$A:$N,13,0)</f>
        <v>0.42</v>
      </c>
      <c r="MU27" s="27">
        <f>VLOOKUP(B27,[1]Sheet1!$A:$N,14,0)</f>
        <v>1.1200000000000001</v>
      </c>
    </row>
    <row r="28" spans="1:359" s="27" customFormat="1" ht="18.75" customHeight="1" x14ac:dyDescent="0.25">
      <c r="A28" s="8" t="s">
        <v>0</v>
      </c>
      <c r="B28" s="8">
        <v>20196</v>
      </c>
      <c r="C28" s="9" t="s">
        <v>20</v>
      </c>
      <c r="D28" s="10" t="s">
        <v>33</v>
      </c>
      <c r="E28" s="10" t="s">
        <v>69</v>
      </c>
      <c r="F28" s="11" t="s">
        <v>28</v>
      </c>
      <c r="G28" s="39" t="s">
        <v>5</v>
      </c>
      <c r="H28" s="41">
        <v>26</v>
      </c>
      <c r="I28" s="13" t="s">
        <v>2</v>
      </c>
      <c r="J28" s="28">
        <v>6.56</v>
      </c>
      <c r="K28" s="15">
        <v>16.252585</v>
      </c>
      <c r="L28" s="15">
        <v>81.026430000000005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2">
        <v>2.2799999999999998</v>
      </c>
      <c r="GZ28" s="12">
        <v>2.63</v>
      </c>
      <c r="HA28" s="12">
        <v>2.88</v>
      </c>
      <c r="HB28" s="12">
        <v>3.1</v>
      </c>
      <c r="HC28" s="12">
        <v>2.25</v>
      </c>
      <c r="HD28" s="12">
        <v>1.38</v>
      </c>
      <c r="HE28" s="12">
        <v>1.0900000000000001</v>
      </c>
      <c r="HF28" s="12">
        <v>0.95</v>
      </c>
      <c r="HG28" s="12">
        <v>0.95</v>
      </c>
      <c r="HH28" s="12">
        <v>1.17</v>
      </c>
      <c r="HI28" s="12">
        <v>1.66</v>
      </c>
      <c r="HJ28" s="12">
        <v>2.2599999999999998</v>
      </c>
      <c r="HK28" s="12">
        <v>2.36</v>
      </c>
      <c r="HL28" s="12">
        <v>2.58</v>
      </c>
      <c r="HM28" s="12">
        <v>2.98</v>
      </c>
      <c r="HN28" s="12">
        <v>3.25</v>
      </c>
      <c r="HO28" s="12">
        <v>3.3</v>
      </c>
      <c r="HP28" s="12">
        <v>2.5299999999999998</v>
      </c>
      <c r="HQ28" s="12">
        <v>1.39</v>
      </c>
      <c r="HR28" s="12">
        <v>1.03</v>
      </c>
      <c r="HS28" s="12">
        <v>1.1299999999999999</v>
      </c>
      <c r="HT28" s="12">
        <v>1.53</v>
      </c>
      <c r="HU28" s="12">
        <v>1.64</v>
      </c>
      <c r="HV28" s="12">
        <v>2.2400000000000002</v>
      </c>
      <c r="HW28" s="12">
        <v>2.58</v>
      </c>
      <c r="HX28" s="12">
        <v>2.79</v>
      </c>
      <c r="HY28" s="12">
        <v>3.09</v>
      </c>
      <c r="HZ28" s="12">
        <v>3.04</v>
      </c>
      <c r="IA28" s="12">
        <v>2.62</v>
      </c>
      <c r="IB28" s="12">
        <v>6.61</v>
      </c>
      <c r="IC28" s="12">
        <v>2.33</v>
      </c>
      <c r="ID28" s="12">
        <v>3.37</v>
      </c>
      <c r="IE28" s="12">
        <v>5.33</v>
      </c>
      <c r="IF28" s="12">
        <v>5.1100000000000003</v>
      </c>
      <c r="IG28" s="12">
        <v>5.95</v>
      </c>
      <c r="IH28" s="12">
        <v>6.45</v>
      </c>
      <c r="II28" s="12">
        <v>6.71</v>
      </c>
      <c r="IJ28" s="12">
        <v>6.89</v>
      </c>
      <c r="IK28" s="12">
        <v>7.12</v>
      </c>
      <c r="IL28" s="12">
        <v>6.72</v>
      </c>
      <c r="IM28" s="12">
        <v>6.89</v>
      </c>
      <c r="IN28" s="12">
        <v>7.28</v>
      </c>
      <c r="IO28" s="12">
        <v>6.75</v>
      </c>
      <c r="IP28" s="12">
        <v>6.71</v>
      </c>
      <c r="IQ28" s="12">
        <v>6.72</v>
      </c>
      <c r="IR28" s="12">
        <v>6.7</v>
      </c>
      <c r="IS28" s="12">
        <v>6.63</v>
      </c>
      <c r="IT28" s="12">
        <v>6.78</v>
      </c>
      <c r="IU28" s="12">
        <v>6.91</v>
      </c>
      <c r="IV28" s="12">
        <v>7.21</v>
      </c>
      <c r="IW28" s="18">
        <v>7.19</v>
      </c>
      <c r="IX28" s="18">
        <v>7.02</v>
      </c>
      <c r="IY28" s="18">
        <v>6.72</v>
      </c>
      <c r="IZ28" s="19">
        <v>6.71</v>
      </c>
      <c r="JA28" s="20">
        <v>6.64</v>
      </c>
      <c r="JB28" s="20">
        <v>6.58</v>
      </c>
      <c r="JC28" s="20">
        <v>6.78</v>
      </c>
      <c r="JD28" s="20">
        <v>6.72</v>
      </c>
      <c r="JE28" s="20">
        <v>6.75</v>
      </c>
      <c r="JF28" s="21">
        <v>6.74</v>
      </c>
      <c r="JG28" s="22">
        <v>7.13</v>
      </c>
      <c r="JH28" s="22">
        <v>7.03</v>
      </c>
      <c r="JI28" s="20">
        <v>7.33</v>
      </c>
      <c r="JJ28" s="23">
        <v>6.78</v>
      </c>
      <c r="JK28" s="24">
        <v>6.22</v>
      </c>
      <c r="JL28" s="24">
        <v>5.75</v>
      </c>
      <c r="JM28" s="17">
        <v>5.83</v>
      </c>
      <c r="JN28" s="17">
        <v>5.89</v>
      </c>
      <c r="JO28" s="17">
        <v>5.9</v>
      </c>
      <c r="JP28" s="17">
        <v>5.57</v>
      </c>
      <c r="JQ28" s="17">
        <v>5.89</v>
      </c>
      <c r="JR28" s="17">
        <v>6.15</v>
      </c>
      <c r="JS28" s="17">
        <v>6.48</v>
      </c>
      <c r="JT28" s="17">
        <v>6.94</v>
      </c>
      <c r="JU28" s="17">
        <v>7.99</v>
      </c>
      <c r="JV28" s="18">
        <v>7.07</v>
      </c>
      <c r="JW28" s="18">
        <v>6.74</v>
      </c>
      <c r="JX28" s="18">
        <v>5.71</v>
      </c>
      <c r="JY28" s="18">
        <v>5.35</v>
      </c>
      <c r="JZ28" s="18">
        <v>4.4800000000000004</v>
      </c>
      <c r="KA28" s="18">
        <v>4.6399999999999997</v>
      </c>
      <c r="KB28" s="18">
        <v>4.8600000000000003</v>
      </c>
      <c r="KC28" s="18">
        <v>5.47</v>
      </c>
      <c r="KD28" s="18">
        <v>5.55</v>
      </c>
      <c r="KE28" s="18">
        <v>5.63</v>
      </c>
      <c r="KF28" s="18">
        <v>5.71</v>
      </c>
      <c r="KG28" s="26">
        <v>5.9</v>
      </c>
      <c r="KH28" s="26">
        <v>5.23</v>
      </c>
      <c r="KI28" s="26">
        <v>3.2</v>
      </c>
      <c r="KJ28" s="26">
        <v>2.39</v>
      </c>
      <c r="KK28" s="26">
        <v>2.34</v>
      </c>
      <c r="KL28" s="18">
        <v>2.0499999999999998</v>
      </c>
      <c r="KM28" s="26">
        <v>1.8499999999999999</v>
      </c>
      <c r="KN28" s="18">
        <v>1.93</v>
      </c>
      <c r="KO28" s="18">
        <v>2.0499999999999998</v>
      </c>
      <c r="KP28" s="18">
        <v>2.42</v>
      </c>
      <c r="KQ28" s="18">
        <v>2.79</v>
      </c>
      <c r="KR28" s="18">
        <v>2.9000000000000004</v>
      </c>
      <c r="KS28" s="18">
        <v>3.05</v>
      </c>
      <c r="KT28" s="18">
        <v>2.9000000000000004</v>
      </c>
      <c r="KU28" s="26">
        <v>2.5999999999999996</v>
      </c>
      <c r="KV28" s="18">
        <v>1.99</v>
      </c>
      <c r="KW28" s="17">
        <v>1.76</v>
      </c>
      <c r="KX28" s="17">
        <v>1.91</v>
      </c>
      <c r="KY28" s="18">
        <v>1.72</v>
      </c>
      <c r="KZ28" s="17">
        <v>1.91</v>
      </c>
      <c r="LA28" s="17">
        <v>1.8299999999999998</v>
      </c>
      <c r="LB28" s="17">
        <v>2.0199999999999996</v>
      </c>
      <c r="LC28" s="17">
        <v>2.6500000000000004</v>
      </c>
      <c r="LD28" s="17">
        <v>3.51</v>
      </c>
      <c r="LE28" s="17">
        <v>2.9000000000000004</v>
      </c>
      <c r="LF28" s="17">
        <v>3.2</v>
      </c>
      <c r="LG28" s="18">
        <v>2.65</v>
      </c>
      <c r="LH28" s="18">
        <v>1.49</v>
      </c>
      <c r="LI28" s="18">
        <v>1.4999999999999998</v>
      </c>
      <c r="LJ28" s="18">
        <v>1.05</v>
      </c>
      <c r="LK28" s="18">
        <v>1.4100000000000001</v>
      </c>
      <c r="LL28" s="18">
        <v>1.6500000000000001</v>
      </c>
      <c r="LM28" s="18">
        <v>2.0499999999999998</v>
      </c>
      <c r="LN28" s="18">
        <v>2.4299999999999997</v>
      </c>
      <c r="LO28" s="18">
        <v>2.37</v>
      </c>
      <c r="LP28" s="18">
        <v>2.5999999999999996</v>
      </c>
      <c r="LQ28" s="18">
        <v>2.5</v>
      </c>
      <c r="LR28" s="18">
        <v>2.95</v>
      </c>
      <c r="LS28" s="18">
        <v>0.98</v>
      </c>
      <c r="LT28" s="18">
        <v>1.19</v>
      </c>
      <c r="LU28" s="18">
        <v>1.1399999999999999</v>
      </c>
      <c r="LV28" s="17">
        <v>1.2</v>
      </c>
      <c r="LW28" s="17">
        <v>1.37</v>
      </c>
      <c r="LX28" s="17">
        <v>1.27</v>
      </c>
      <c r="LY28" s="17">
        <v>1.9000000000000001</v>
      </c>
      <c r="LZ28" s="17">
        <v>2.3200000000000003</v>
      </c>
      <c r="MA28" s="17">
        <v>2.56</v>
      </c>
      <c r="MB28" s="17">
        <v>2.9000000000000004</v>
      </c>
      <c r="MC28" s="17">
        <v>3.0700000000000003</v>
      </c>
      <c r="MD28" s="17">
        <v>2.88</v>
      </c>
      <c r="ME28" s="17">
        <v>1.46</v>
      </c>
      <c r="MF28" s="17">
        <v>1.53</v>
      </c>
      <c r="MG28" s="17">
        <v>1.43</v>
      </c>
      <c r="MH28" s="17">
        <v>1.01</v>
      </c>
      <c r="MI28" s="17">
        <v>1.3</v>
      </c>
      <c r="MJ28" s="17">
        <v>1.5599999999999998</v>
      </c>
      <c r="MK28" s="17">
        <v>2.0300000000000002</v>
      </c>
      <c r="ML28" s="17">
        <v>2.2999999999999998</v>
      </c>
      <c r="MM28" s="27">
        <v>2.39</v>
      </c>
      <c r="MN28" s="27">
        <f>VLOOKUP(B28,[1]Sheet1!$A:$N,7,0)</f>
        <v>2.58</v>
      </c>
      <c r="MO28" s="27">
        <f>VLOOKUP(B28,[1]Sheet1!$A:$N,8,0)</f>
        <v>1.53</v>
      </c>
      <c r="MP28" s="27">
        <f>VLOOKUP(B28,[1]Sheet1!$A:$N,9,0)</f>
        <v>1.62</v>
      </c>
      <c r="MQ28" s="27">
        <f>VLOOKUP(B28,[1]Sheet1!$A:$N,10,0)</f>
        <v>1.55</v>
      </c>
      <c r="MR28" s="27">
        <f>VLOOKUP(B28,[1]Sheet1!$A:$N,11,0)</f>
        <v>1.1500000000000001</v>
      </c>
      <c r="MS28" s="27">
        <f>VLOOKUP(B28,[1]Sheet1!$A:$N,12,0)</f>
        <v>0.99</v>
      </c>
      <c r="MT28" s="27">
        <f>VLOOKUP(B28,[1]Sheet1!$A:$N,13,0)</f>
        <v>0.88</v>
      </c>
      <c r="MU28" s="27">
        <f>VLOOKUP(B28,[1]Sheet1!$A:$N,14,0)</f>
        <v>1.95</v>
      </c>
    </row>
    <row r="29" spans="1:359" s="27" customFormat="1" ht="18.75" customHeight="1" x14ac:dyDescent="0.25">
      <c r="A29" s="8" t="s">
        <v>0</v>
      </c>
      <c r="B29" s="8">
        <v>20197</v>
      </c>
      <c r="C29" s="9" t="s">
        <v>20</v>
      </c>
      <c r="D29" s="10" t="s">
        <v>70</v>
      </c>
      <c r="E29" s="10" t="s">
        <v>70</v>
      </c>
      <c r="F29" s="11" t="s">
        <v>67</v>
      </c>
      <c r="G29" s="39" t="s">
        <v>5</v>
      </c>
      <c r="H29" s="41">
        <v>25</v>
      </c>
      <c r="I29" s="13" t="s">
        <v>2</v>
      </c>
      <c r="J29" s="28">
        <v>3.86</v>
      </c>
      <c r="K29" s="15">
        <v>15.955911</v>
      </c>
      <c r="L29" s="15">
        <v>80.919953000000007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2">
        <v>1.31</v>
      </c>
      <c r="GZ29" s="12">
        <v>1.1100000000000001</v>
      </c>
      <c r="HA29" s="12">
        <v>1.76</v>
      </c>
      <c r="HB29" s="12">
        <v>1.89</v>
      </c>
      <c r="HC29" s="12">
        <v>2.0499999999999998</v>
      </c>
      <c r="HD29" s="12">
        <v>0.12</v>
      </c>
      <c r="HE29" s="12">
        <v>0.16</v>
      </c>
      <c r="HF29" s="12">
        <v>0.01</v>
      </c>
      <c r="HG29" s="12">
        <v>0.34</v>
      </c>
      <c r="HH29" s="12">
        <v>0.56000000000000005</v>
      </c>
      <c r="HI29" s="12">
        <v>0.92</v>
      </c>
      <c r="HJ29" s="12">
        <v>0.84</v>
      </c>
      <c r="HK29" s="12">
        <v>0.6</v>
      </c>
      <c r="HL29" s="12">
        <v>0.68</v>
      </c>
      <c r="HM29" s="12">
        <v>1.47</v>
      </c>
      <c r="HN29" s="12">
        <v>1.88</v>
      </c>
      <c r="HO29" s="12">
        <v>1.93</v>
      </c>
      <c r="HP29" s="12">
        <v>0.74</v>
      </c>
      <c r="HQ29" s="12">
        <v>0.28000000000000003</v>
      </c>
      <c r="HR29" s="12">
        <v>0.05</v>
      </c>
      <c r="HS29" s="12">
        <v>0.13</v>
      </c>
      <c r="HT29" s="12">
        <v>0.83</v>
      </c>
      <c r="HU29" s="12">
        <v>0.68</v>
      </c>
      <c r="HV29" s="12">
        <v>1.04</v>
      </c>
      <c r="HW29" s="12">
        <v>1.3</v>
      </c>
      <c r="HX29" s="12">
        <v>1.41</v>
      </c>
      <c r="HY29" s="12">
        <v>1.63</v>
      </c>
      <c r="HZ29" s="12">
        <v>0.6</v>
      </c>
      <c r="IA29" s="12">
        <v>1.1200000000000001</v>
      </c>
      <c r="IB29" s="12">
        <v>0.78</v>
      </c>
      <c r="IC29" s="12">
        <v>0.13</v>
      </c>
      <c r="ID29" s="12">
        <v>0.48</v>
      </c>
      <c r="IE29" s="12">
        <v>0.36</v>
      </c>
      <c r="IF29" s="12">
        <v>0.5</v>
      </c>
      <c r="IG29" s="12">
        <v>0.93</v>
      </c>
      <c r="IH29" s="12">
        <v>1.03</v>
      </c>
      <c r="II29" s="12">
        <v>1.64</v>
      </c>
      <c r="IJ29" s="12">
        <v>2.21</v>
      </c>
      <c r="IK29" s="12">
        <v>2.5099999999999998</v>
      </c>
      <c r="IL29" s="12">
        <v>0.54</v>
      </c>
      <c r="IM29" s="12">
        <v>0.91</v>
      </c>
      <c r="IN29" s="12">
        <v>0.6</v>
      </c>
      <c r="IO29" s="12">
        <v>0.18</v>
      </c>
      <c r="IP29" s="12">
        <v>0.25</v>
      </c>
      <c r="IQ29" s="12">
        <v>0.31</v>
      </c>
      <c r="IR29" s="12">
        <v>0.45</v>
      </c>
      <c r="IS29" s="12">
        <v>0.63</v>
      </c>
      <c r="IT29" s="12">
        <v>1.2</v>
      </c>
      <c r="IU29" s="12">
        <v>1.18</v>
      </c>
      <c r="IV29" s="12">
        <v>1.74</v>
      </c>
      <c r="IW29" s="18">
        <v>2.08</v>
      </c>
      <c r="IX29" s="18">
        <v>1.1200000000000001</v>
      </c>
      <c r="IY29" s="18">
        <v>0.84</v>
      </c>
      <c r="IZ29" s="19">
        <v>0.22</v>
      </c>
      <c r="JA29" s="20">
        <v>0.3</v>
      </c>
      <c r="JB29" s="20">
        <v>0.18</v>
      </c>
      <c r="JC29" s="20">
        <v>0.19</v>
      </c>
      <c r="JD29" s="20">
        <v>0.49</v>
      </c>
      <c r="JE29" s="20">
        <v>0.89</v>
      </c>
      <c r="JF29" s="21">
        <v>1.31</v>
      </c>
      <c r="JG29" s="22">
        <v>1.44</v>
      </c>
      <c r="JH29" s="22">
        <v>1.61</v>
      </c>
      <c r="JI29" s="20">
        <v>2.04</v>
      </c>
      <c r="JJ29" s="23">
        <v>2.29</v>
      </c>
      <c r="JK29" s="24">
        <v>1</v>
      </c>
      <c r="JL29" s="24">
        <v>0.16</v>
      </c>
      <c r="JM29" s="17">
        <v>0.14000000000000001</v>
      </c>
      <c r="JN29" s="17">
        <v>0.24</v>
      </c>
      <c r="JO29" s="17">
        <v>0.18</v>
      </c>
      <c r="JP29" s="17">
        <v>0.09</v>
      </c>
      <c r="JQ29" s="17">
        <v>0.39</v>
      </c>
      <c r="JR29" s="17">
        <v>1.24</v>
      </c>
      <c r="JS29" s="17">
        <v>1.58</v>
      </c>
      <c r="JT29" s="17">
        <v>1.27</v>
      </c>
      <c r="JU29" s="17">
        <v>2.2799999999999998</v>
      </c>
      <c r="JV29" s="18">
        <v>2.08</v>
      </c>
      <c r="JW29" s="18">
        <v>1.1499999999999999</v>
      </c>
      <c r="JX29" s="18">
        <v>0.37</v>
      </c>
      <c r="JY29" s="18">
        <v>7.0000000000000007E-2</v>
      </c>
      <c r="JZ29" s="18">
        <v>0.15</v>
      </c>
      <c r="KA29" s="18">
        <v>7.0000000000000007E-2</v>
      </c>
      <c r="KB29" s="18">
        <v>0.28000000000000003</v>
      </c>
      <c r="KC29" s="18">
        <v>0.56999999999999995</v>
      </c>
      <c r="KD29" s="18">
        <v>0.8</v>
      </c>
      <c r="KE29" s="18">
        <v>1.03</v>
      </c>
      <c r="KF29" s="18">
        <v>1.26</v>
      </c>
      <c r="KG29" s="26">
        <v>1.44</v>
      </c>
      <c r="KH29" s="26">
        <v>1.56</v>
      </c>
      <c r="KI29" s="26">
        <v>0.67</v>
      </c>
      <c r="KJ29" s="26">
        <v>0.23</v>
      </c>
      <c r="KK29" s="26">
        <v>0.15</v>
      </c>
      <c r="KL29" s="18">
        <v>0.14000000000000001</v>
      </c>
      <c r="KM29" s="26">
        <v>0.14000000000000001</v>
      </c>
      <c r="KN29" s="18">
        <v>0.39</v>
      </c>
      <c r="KO29" s="18">
        <v>0.39</v>
      </c>
      <c r="KP29" s="18">
        <v>0.54999999999999993</v>
      </c>
      <c r="KQ29" s="18">
        <v>0.78999999999999992</v>
      </c>
      <c r="KR29" s="18">
        <v>1.04</v>
      </c>
      <c r="KS29" s="18">
        <v>0.9</v>
      </c>
      <c r="KT29" s="18">
        <v>0.98000000000000009</v>
      </c>
      <c r="KU29" s="26">
        <v>0.63</v>
      </c>
      <c r="KV29" s="18">
        <v>0.13</v>
      </c>
      <c r="KW29" s="17">
        <v>3.0000000000000027E-2</v>
      </c>
      <c r="KX29" s="17">
        <v>0.10999999999999999</v>
      </c>
      <c r="KY29" s="18">
        <v>0.16000000000000003</v>
      </c>
      <c r="KZ29" s="17">
        <v>0.39</v>
      </c>
      <c r="LA29" s="17">
        <v>0.47000000000000008</v>
      </c>
      <c r="LB29" s="17">
        <v>0.70000000000000007</v>
      </c>
      <c r="LC29" s="17">
        <v>0.77999999999999992</v>
      </c>
      <c r="LD29" s="17">
        <v>1.9700000000000002</v>
      </c>
      <c r="LE29" s="17">
        <v>0.9900000000000001</v>
      </c>
      <c r="LF29" s="17">
        <v>0.84</v>
      </c>
      <c r="LG29" s="18">
        <v>0.23</v>
      </c>
      <c r="LH29" s="18">
        <v>7.0000000000000062E-2</v>
      </c>
      <c r="LI29" s="18">
        <v>5.9999999999999942E-2</v>
      </c>
      <c r="LJ29" s="18">
        <v>0.20000000000000007</v>
      </c>
      <c r="LK29" s="18">
        <v>2.0000000000000018E-2</v>
      </c>
      <c r="LL29" s="18">
        <v>0.20000000000000007</v>
      </c>
      <c r="LM29" s="18">
        <v>0.63</v>
      </c>
      <c r="LN29" s="18">
        <v>0.9900000000000001</v>
      </c>
      <c r="LO29" s="18">
        <v>1.1299999999999999</v>
      </c>
      <c r="LP29" s="18">
        <v>0.95000000000000007</v>
      </c>
      <c r="LQ29" s="18">
        <v>1.29</v>
      </c>
      <c r="LR29" s="18">
        <v>1.3000000000000003</v>
      </c>
      <c r="LS29" s="18">
        <v>0.4</v>
      </c>
      <c r="LT29" s="18">
        <v>0.12</v>
      </c>
      <c r="LU29" s="18">
        <v>0.22000000000000008</v>
      </c>
      <c r="LV29" s="17">
        <v>0.31999999999999995</v>
      </c>
      <c r="LW29" s="17">
        <v>0.36999999999999988</v>
      </c>
      <c r="LX29" s="17">
        <v>0.21999999999999997</v>
      </c>
      <c r="LY29" s="17">
        <v>0.78</v>
      </c>
      <c r="LZ29" s="17">
        <v>1.04</v>
      </c>
      <c r="MA29" s="17">
        <v>1.45</v>
      </c>
      <c r="MB29" s="17">
        <v>1.6099999999999999</v>
      </c>
      <c r="MC29" s="17">
        <v>1.5299999999999998</v>
      </c>
      <c r="MD29" s="17">
        <v>1.9899999999999998</v>
      </c>
      <c r="ME29" s="17">
        <v>0.85999999999999988</v>
      </c>
      <c r="MF29" s="17">
        <v>0.45999999999999996</v>
      </c>
      <c r="MG29" s="17">
        <v>9.9999999999999978E-2</v>
      </c>
      <c r="MH29" s="17">
        <v>0.12999999999999989</v>
      </c>
      <c r="MI29" s="17">
        <v>0.22999999999999998</v>
      </c>
      <c r="MJ29" s="17">
        <v>0.69</v>
      </c>
      <c r="MK29" s="17">
        <v>0.66999999999999993</v>
      </c>
      <c r="ML29" s="17">
        <v>0.69</v>
      </c>
      <c r="MM29" s="27">
        <v>1.46</v>
      </c>
      <c r="MN29" s="27">
        <f>VLOOKUP(B29,[1]Sheet1!$A:$N,7,0)</f>
        <v>1.66</v>
      </c>
      <c r="MO29" s="27">
        <f>VLOOKUP(B29,[1]Sheet1!$A:$N,8,0)</f>
        <v>0.45999999999999996</v>
      </c>
      <c r="MP29" s="27">
        <f>VLOOKUP(B29,[1]Sheet1!$A:$N,9,0)</f>
        <v>0.96</v>
      </c>
      <c r="MQ29" s="27">
        <f>VLOOKUP(B29,[1]Sheet1!$A:$N,10,0)</f>
        <v>0.66999999999999993</v>
      </c>
      <c r="MR29" s="27">
        <f>VLOOKUP(B29,[1]Sheet1!$A:$N,11,0)</f>
        <v>0.25</v>
      </c>
      <c r="MS29" s="27">
        <f>VLOOKUP(B29,[1]Sheet1!$A:$N,12,0)</f>
        <v>0.14000000000000001</v>
      </c>
      <c r="MT29" s="27">
        <f>VLOOKUP(B29,[1]Sheet1!$A:$N,13,0)</f>
        <v>0</v>
      </c>
      <c r="MU29" s="27">
        <f>VLOOKUP(B29,[1]Sheet1!$A:$N,14,0)</f>
        <v>0.25</v>
      </c>
    </row>
    <row r="30" spans="1:359" s="27" customFormat="1" ht="18.75" customHeight="1" x14ac:dyDescent="0.25">
      <c r="A30" s="8" t="s">
        <v>0</v>
      </c>
      <c r="B30" s="8">
        <v>20198</v>
      </c>
      <c r="C30" s="9" t="s">
        <v>20</v>
      </c>
      <c r="D30" s="10" t="s">
        <v>71</v>
      </c>
      <c r="E30" s="10" t="s">
        <v>72</v>
      </c>
      <c r="F30" s="11" t="s">
        <v>28</v>
      </c>
      <c r="G30" s="39" t="s">
        <v>5</v>
      </c>
      <c r="H30" s="41">
        <v>25</v>
      </c>
      <c r="I30" s="13" t="s">
        <v>2</v>
      </c>
      <c r="J30" s="28">
        <v>9.2899999999999991</v>
      </c>
      <c r="K30" s="15">
        <v>16.438822999999999</v>
      </c>
      <c r="L30" s="15">
        <v>80.910859000000002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2">
        <v>3.48</v>
      </c>
      <c r="GZ30" s="12">
        <v>3.43</v>
      </c>
      <c r="HA30" s="12">
        <v>4.1500000000000004</v>
      </c>
      <c r="HB30" s="12">
        <v>4.4000000000000004</v>
      </c>
      <c r="HC30" s="12">
        <v>4.4000000000000004</v>
      </c>
      <c r="HD30" s="12">
        <v>2.84</v>
      </c>
      <c r="HE30" s="12">
        <v>1.47</v>
      </c>
      <c r="HF30" s="12">
        <v>0.8</v>
      </c>
      <c r="HG30" s="12">
        <v>1.73</v>
      </c>
      <c r="HH30" s="12">
        <v>1.92</v>
      </c>
      <c r="HI30" s="12">
        <v>2.4</v>
      </c>
      <c r="HJ30" s="12">
        <v>2.5499999999999998</v>
      </c>
      <c r="HK30" s="12">
        <v>2.69</v>
      </c>
      <c r="HL30" s="12">
        <v>2.82</v>
      </c>
      <c r="HM30" s="12">
        <v>3.69</v>
      </c>
      <c r="HN30" s="12">
        <v>4.3600000000000003</v>
      </c>
      <c r="HO30" s="12">
        <v>4.57</v>
      </c>
      <c r="HP30" s="12">
        <v>4.97</v>
      </c>
      <c r="HQ30" s="12">
        <v>2.2400000000000002</v>
      </c>
      <c r="HR30" s="12">
        <v>1.47</v>
      </c>
      <c r="HS30" s="12">
        <v>1.57</v>
      </c>
      <c r="HT30" s="12">
        <v>2.5</v>
      </c>
      <c r="HU30" s="12">
        <v>1.6</v>
      </c>
      <c r="HV30" s="12">
        <v>3.14</v>
      </c>
      <c r="HW30" s="12">
        <v>3.37</v>
      </c>
      <c r="HX30" s="12">
        <v>3.89</v>
      </c>
      <c r="HY30" s="12">
        <v>3.7</v>
      </c>
      <c r="HZ30" s="12">
        <v>4.49</v>
      </c>
      <c r="IA30" s="12">
        <v>4.57</v>
      </c>
      <c r="IB30" s="12">
        <v>5.37</v>
      </c>
      <c r="IC30" s="12">
        <v>5.37</v>
      </c>
      <c r="ID30" s="12">
        <v>5.82</v>
      </c>
      <c r="IE30" s="12">
        <v>5.93</v>
      </c>
      <c r="IF30" s="12">
        <v>6.03</v>
      </c>
      <c r="IG30" s="12">
        <v>6.54</v>
      </c>
      <c r="IH30" s="12">
        <v>6.51</v>
      </c>
      <c r="II30" s="12">
        <v>6.73</v>
      </c>
      <c r="IJ30" s="12">
        <v>6.64</v>
      </c>
      <c r="IK30" s="12">
        <v>7.03</v>
      </c>
      <c r="IL30" s="12">
        <v>7.07</v>
      </c>
      <c r="IM30" s="12">
        <v>7.21</v>
      </c>
      <c r="IN30" s="12">
        <v>6.39</v>
      </c>
      <c r="IO30" s="12">
        <v>4.62</v>
      </c>
      <c r="IP30" s="12">
        <v>3.63</v>
      </c>
      <c r="IQ30" s="12">
        <v>3.97</v>
      </c>
      <c r="IR30" s="12">
        <v>4.87</v>
      </c>
      <c r="IS30" s="12">
        <v>5.18</v>
      </c>
      <c r="IT30" s="12">
        <v>5.67</v>
      </c>
      <c r="IU30" s="12">
        <v>6.07</v>
      </c>
      <c r="IV30" s="12">
        <v>6.1</v>
      </c>
      <c r="IW30" s="18">
        <v>6.55</v>
      </c>
      <c r="IX30" s="18">
        <v>6.37</v>
      </c>
      <c r="IY30" s="18">
        <v>5.78</v>
      </c>
      <c r="IZ30" s="19">
        <v>6.01</v>
      </c>
      <c r="JA30" s="20">
        <v>5.76</v>
      </c>
      <c r="JB30" s="20">
        <v>5.48</v>
      </c>
      <c r="JC30" s="20">
        <v>5.59</v>
      </c>
      <c r="JD30" s="20">
        <v>5.79</v>
      </c>
      <c r="JE30" s="20">
        <v>6.22</v>
      </c>
      <c r="JF30" s="21">
        <v>6.64</v>
      </c>
      <c r="JG30" s="22">
        <v>7.02</v>
      </c>
      <c r="JH30" s="22">
        <v>6.98</v>
      </c>
      <c r="JI30" s="20">
        <v>7.38</v>
      </c>
      <c r="JJ30" s="23">
        <v>7.64</v>
      </c>
      <c r="JK30" s="24">
        <v>7.01</v>
      </c>
      <c r="JL30" s="24">
        <v>6.28</v>
      </c>
      <c r="JM30" s="17">
        <v>6.27</v>
      </c>
      <c r="JN30" s="17">
        <v>6.27</v>
      </c>
      <c r="JO30" s="17">
        <v>6.35</v>
      </c>
      <c r="JP30" s="17">
        <v>6.53</v>
      </c>
      <c r="JQ30" s="17">
        <v>6.97</v>
      </c>
      <c r="JR30" s="17">
        <v>7.6</v>
      </c>
      <c r="JS30" s="17">
        <v>7.28</v>
      </c>
      <c r="JT30" s="17">
        <v>7.14</v>
      </c>
      <c r="JU30" s="17">
        <v>8.9600000000000009</v>
      </c>
      <c r="JV30" s="18">
        <v>8.3000000000000007</v>
      </c>
      <c r="JW30" s="18">
        <v>8.23</v>
      </c>
      <c r="JX30" s="18">
        <v>7.43</v>
      </c>
      <c r="JY30" s="18">
        <v>6.82</v>
      </c>
      <c r="JZ30" s="18">
        <v>5.64</v>
      </c>
      <c r="KA30" s="18">
        <v>5.0999999999999996</v>
      </c>
      <c r="KB30" s="18">
        <v>5.24</v>
      </c>
      <c r="KC30" s="18">
        <v>6.08</v>
      </c>
      <c r="KD30" s="18">
        <v>6.3</v>
      </c>
      <c r="KE30" s="18">
        <v>6.52</v>
      </c>
      <c r="KF30" s="18">
        <v>6.74</v>
      </c>
      <c r="KG30" s="26">
        <v>6.66</v>
      </c>
      <c r="KH30" s="26">
        <v>7.03</v>
      </c>
      <c r="KI30" s="26">
        <v>8.08</v>
      </c>
      <c r="KJ30" s="26">
        <v>5.27</v>
      </c>
      <c r="KK30" s="26">
        <v>4.67</v>
      </c>
      <c r="KL30" s="18">
        <v>5.5299999999999994</v>
      </c>
      <c r="KM30" s="26">
        <v>3.24</v>
      </c>
      <c r="KN30" s="18">
        <v>4</v>
      </c>
      <c r="KO30" s="18">
        <v>4.3499999999999996</v>
      </c>
      <c r="KP30" s="18">
        <v>4.71</v>
      </c>
      <c r="KQ30" s="18">
        <v>4.75</v>
      </c>
      <c r="KR30" s="18">
        <v>4.4499999999999993</v>
      </c>
      <c r="KS30" s="18">
        <v>4.5199999999999996</v>
      </c>
      <c r="KT30" s="18">
        <v>4.75</v>
      </c>
      <c r="KU30" s="26">
        <v>4.6099999999999994</v>
      </c>
      <c r="KV30" s="18">
        <v>4.17</v>
      </c>
      <c r="KW30" s="17">
        <v>3.6700000000000004</v>
      </c>
      <c r="KX30" s="17">
        <v>3.24</v>
      </c>
      <c r="KY30" s="18">
        <v>3.27</v>
      </c>
      <c r="KZ30" s="17">
        <v>3.48</v>
      </c>
      <c r="LA30" s="17">
        <v>4.1099999999999994</v>
      </c>
      <c r="LB30" s="17">
        <v>4.5599999999999996</v>
      </c>
      <c r="LC30" s="17">
        <v>5.35</v>
      </c>
      <c r="LD30" s="17">
        <v>6.169999999999999</v>
      </c>
      <c r="LE30" s="17">
        <v>5.05</v>
      </c>
      <c r="LF30" s="17">
        <v>5.5299999999999994</v>
      </c>
      <c r="LG30" s="8">
        <v>4.88</v>
      </c>
      <c r="LH30" s="18">
        <v>4.7799999999999994</v>
      </c>
      <c r="LI30" s="18">
        <v>3.57</v>
      </c>
      <c r="LJ30" s="18">
        <v>2.5700000000000003</v>
      </c>
      <c r="LK30" s="18">
        <v>3.21</v>
      </c>
      <c r="LL30" s="18">
        <v>4.1999999999999993</v>
      </c>
      <c r="LM30" s="18">
        <v>4.55</v>
      </c>
      <c r="LN30" s="18">
        <v>4.8</v>
      </c>
      <c r="LO30" s="18">
        <v>5.42</v>
      </c>
      <c r="LP30" s="18">
        <v>4.6499999999999995</v>
      </c>
      <c r="LQ30" s="18">
        <v>4.8899999999999997</v>
      </c>
      <c r="LR30" s="18">
        <v>5.6499999999999995</v>
      </c>
      <c r="LS30" s="18">
        <v>5.35</v>
      </c>
      <c r="LT30" s="18">
        <v>5.56</v>
      </c>
      <c r="LU30" s="18">
        <v>3.77</v>
      </c>
      <c r="LV30" s="17">
        <v>3.9499999999999997</v>
      </c>
      <c r="LW30" s="17">
        <v>4.2899999999999991</v>
      </c>
      <c r="LX30" s="17">
        <v>4.5500000000000007</v>
      </c>
      <c r="LY30" s="17">
        <v>5.6400000000000006</v>
      </c>
      <c r="LZ30" s="17">
        <v>6.0399999999999991</v>
      </c>
      <c r="MA30" s="17">
        <v>6.35</v>
      </c>
      <c r="MB30" s="17">
        <v>6.4399999999999995</v>
      </c>
      <c r="MC30" s="17">
        <v>6.84</v>
      </c>
      <c r="MD30" s="17">
        <v>7.3800000000000008</v>
      </c>
      <c r="ME30" s="17">
        <v>7.5399999999999991</v>
      </c>
      <c r="MF30" s="17">
        <v>6.3800000000000008</v>
      </c>
      <c r="MG30" s="17">
        <v>5.0600000000000005</v>
      </c>
      <c r="MH30" s="17">
        <v>3.94</v>
      </c>
      <c r="MI30" s="17">
        <v>3.56</v>
      </c>
      <c r="MJ30" s="17">
        <v>4.74</v>
      </c>
      <c r="MK30" s="17">
        <v>5.5</v>
      </c>
      <c r="ML30" s="17">
        <v>5.73</v>
      </c>
      <c r="MM30" s="27">
        <v>6.29</v>
      </c>
      <c r="MN30" s="27">
        <f>VLOOKUP(B30,[1]Sheet1!$A:$N,7,0)</f>
        <v>6.87</v>
      </c>
      <c r="MO30" s="27">
        <f>VLOOKUP(B30,[1]Sheet1!$A:$N,8,0)</f>
        <v>6.3800000000000008</v>
      </c>
      <c r="MP30" s="27">
        <f>VLOOKUP(B30,[1]Sheet1!$A:$N,9,0)</f>
        <v>7.35</v>
      </c>
      <c r="MQ30" s="27">
        <f>VLOOKUP(B30,[1]Sheet1!$A:$N,10,0)</f>
        <v>7.0600000000000005</v>
      </c>
      <c r="MR30" s="27">
        <f>VLOOKUP(B30,[1]Sheet1!$A:$N,11,0)</f>
        <v>5.7099999999999991</v>
      </c>
      <c r="MS30" s="27">
        <f>VLOOKUP(B30,[1]Sheet1!$A:$N,12,0)</f>
        <v>4.67</v>
      </c>
      <c r="MT30" s="27">
        <f>VLOOKUP(B30,[1]Sheet1!$A:$N,13,0)</f>
        <v>2.92</v>
      </c>
      <c r="MU30" s="27">
        <f>VLOOKUP(B30,[1]Sheet1!$A:$N,14,0)</f>
        <v>4.16</v>
      </c>
    </row>
    <row r="31" spans="1:359" s="27" customFormat="1" ht="18.75" customHeight="1" x14ac:dyDescent="0.25">
      <c r="A31" s="8" t="s">
        <v>0</v>
      </c>
      <c r="B31" s="8">
        <v>20199</v>
      </c>
      <c r="C31" s="9" t="s">
        <v>20</v>
      </c>
      <c r="D31" s="10" t="s">
        <v>71</v>
      </c>
      <c r="E31" s="10" t="s">
        <v>73</v>
      </c>
      <c r="F31" s="11" t="s">
        <v>28</v>
      </c>
      <c r="G31" s="39" t="s">
        <v>5</v>
      </c>
      <c r="H31" s="41">
        <v>28</v>
      </c>
      <c r="I31" s="13" t="s">
        <v>2</v>
      </c>
      <c r="J31" s="28">
        <v>9.84</v>
      </c>
      <c r="K31" s="15">
        <v>16.370611</v>
      </c>
      <c r="L31" s="15">
        <v>80.929316999999998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2">
        <v>5.86</v>
      </c>
      <c r="GZ31" s="12">
        <v>7.15</v>
      </c>
      <c r="HA31" s="12">
        <v>7.25</v>
      </c>
      <c r="HB31" s="12">
        <v>7.7</v>
      </c>
      <c r="HC31" s="12">
        <v>7.7</v>
      </c>
      <c r="HD31" s="12">
        <v>8.6</v>
      </c>
      <c r="HE31" s="12">
        <v>6.99</v>
      </c>
      <c r="HF31" s="12">
        <v>5.77</v>
      </c>
      <c r="HG31" s="12">
        <v>5.82</v>
      </c>
      <c r="HH31" s="12">
        <v>4.92</v>
      </c>
      <c r="HI31" s="12">
        <v>5.7</v>
      </c>
      <c r="HJ31" s="12">
        <v>5.87</v>
      </c>
      <c r="HK31" s="12">
        <v>6.51</v>
      </c>
      <c r="HL31" s="12">
        <v>7.1</v>
      </c>
      <c r="HM31" s="12">
        <v>7.09</v>
      </c>
      <c r="HN31" s="12">
        <v>7.26</v>
      </c>
      <c r="HO31" s="12">
        <v>9.56</v>
      </c>
      <c r="HP31" s="12">
        <v>10.63</v>
      </c>
      <c r="HQ31" s="12">
        <v>8.67</v>
      </c>
      <c r="HR31" s="12">
        <v>7.9</v>
      </c>
      <c r="HS31" s="12">
        <v>7.26</v>
      </c>
      <c r="HT31" s="12">
        <v>7.44</v>
      </c>
      <c r="HU31" s="12">
        <v>7.13</v>
      </c>
      <c r="HV31" s="12">
        <v>6.98</v>
      </c>
      <c r="HW31" s="12">
        <v>7.33</v>
      </c>
      <c r="HX31" s="12">
        <v>7.88</v>
      </c>
      <c r="HY31" s="12">
        <v>8.3000000000000007</v>
      </c>
      <c r="HZ31" s="12">
        <v>7.98</v>
      </c>
      <c r="IA31" s="12">
        <v>8.0399999999999991</v>
      </c>
      <c r="IB31" s="12">
        <v>11.02</v>
      </c>
      <c r="IC31" s="12">
        <v>10.07</v>
      </c>
      <c r="ID31" s="12">
        <v>10.37</v>
      </c>
      <c r="IE31" s="12">
        <v>13.08</v>
      </c>
      <c r="IF31" s="12">
        <v>13.03</v>
      </c>
      <c r="IG31" s="12">
        <v>10.01</v>
      </c>
      <c r="IH31" s="12">
        <v>9.64</v>
      </c>
      <c r="II31" s="12">
        <v>9.84</v>
      </c>
      <c r="IJ31" s="12">
        <v>10.039999999999999</v>
      </c>
      <c r="IK31" s="12">
        <v>9.9600000000000009</v>
      </c>
      <c r="IL31" s="12">
        <v>9.42</v>
      </c>
      <c r="IM31" s="12">
        <v>12.67</v>
      </c>
      <c r="IN31" s="12">
        <v>12.83</v>
      </c>
      <c r="IO31" s="12">
        <v>11.37</v>
      </c>
      <c r="IP31" s="12">
        <v>11.65</v>
      </c>
      <c r="IQ31" s="12">
        <v>12.54</v>
      </c>
      <c r="IR31" s="12">
        <v>10.36</v>
      </c>
      <c r="IS31" s="12">
        <v>10.09</v>
      </c>
      <c r="IT31" s="12">
        <v>9.56</v>
      </c>
      <c r="IU31" s="12">
        <v>9.76</v>
      </c>
      <c r="IV31" s="12">
        <v>10.050000000000001</v>
      </c>
      <c r="IW31" s="18">
        <v>10.48</v>
      </c>
      <c r="IX31" s="18">
        <v>10.54</v>
      </c>
      <c r="IY31" s="18">
        <v>11.95</v>
      </c>
      <c r="IZ31" s="19">
        <v>11.89</v>
      </c>
      <c r="JA31" s="20">
        <v>11.7</v>
      </c>
      <c r="JB31" s="20">
        <v>11.6</v>
      </c>
      <c r="JC31" s="20">
        <v>12.09</v>
      </c>
      <c r="JD31" s="20">
        <v>10.86</v>
      </c>
      <c r="JE31" s="20">
        <v>10.89</v>
      </c>
      <c r="JF31" s="21">
        <v>10.73</v>
      </c>
      <c r="JG31" s="22">
        <v>11.11</v>
      </c>
      <c r="JH31" s="22">
        <v>11.36</v>
      </c>
      <c r="JI31" s="20">
        <v>11.5</v>
      </c>
      <c r="JJ31" s="23">
        <v>11.88</v>
      </c>
      <c r="JK31" s="24">
        <v>12.61</v>
      </c>
      <c r="JL31" s="24">
        <v>12.02</v>
      </c>
      <c r="JM31" s="17">
        <v>12.38</v>
      </c>
      <c r="JN31" s="17">
        <v>12.81</v>
      </c>
      <c r="JO31" s="17">
        <v>12.76</v>
      </c>
      <c r="JP31" s="17">
        <v>12.85</v>
      </c>
      <c r="JQ31" s="17">
        <v>13.23</v>
      </c>
      <c r="JR31" s="17">
        <v>11.38</v>
      </c>
      <c r="JS31" s="17">
        <v>11.7</v>
      </c>
      <c r="JT31" s="17">
        <v>12.46</v>
      </c>
      <c r="JU31" s="17">
        <v>13.14</v>
      </c>
      <c r="JV31" s="18">
        <v>12.79</v>
      </c>
      <c r="JW31" s="18">
        <v>14.59</v>
      </c>
      <c r="JX31" s="18">
        <v>13.29</v>
      </c>
      <c r="JY31" s="18">
        <v>12.41</v>
      </c>
      <c r="JZ31" s="18">
        <v>11.83</v>
      </c>
      <c r="KA31" s="18">
        <v>12.19</v>
      </c>
      <c r="KB31" s="18">
        <v>12.57</v>
      </c>
      <c r="KC31" s="18">
        <v>12.84</v>
      </c>
      <c r="KD31" s="18">
        <v>13.54</v>
      </c>
      <c r="KE31" s="18">
        <v>14.24</v>
      </c>
      <c r="KF31" s="18">
        <v>14.94</v>
      </c>
      <c r="KG31" s="26">
        <v>15.54</v>
      </c>
      <c r="KH31" s="26">
        <v>13.11</v>
      </c>
      <c r="KI31" s="26">
        <v>12.63</v>
      </c>
      <c r="KJ31" s="26">
        <v>12.15</v>
      </c>
      <c r="KK31" s="26">
        <v>11.17</v>
      </c>
      <c r="KL31" s="18">
        <v>10.86</v>
      </c>
      <c r="KM31" s="26">
        <v>10.379999999999999</v>
      </c>
      <c r="KN31" s="18">
        <v>10.26</v>
      </c>
      <c r="KO31" s="18">
        <v>11.04</v>
      </c>
      <c r="KP31" s="18">
        <v>10.69</v>
      </c>
      <c r="KQ31" s="18">
        <v>10.879999999999999</v>
      </c>
      <c r="KR31" s="18">
        <v>11.45</v>
      </c>
      <c r="KS31" s="18">
        <v>11.57</v>
      </c>
      <c r="KT31" s="18">
        <v>11.219999999999999</v>
      </c>
      <c r="KU31" s="26">
        <v>10.379999999999999</v>
      </c>
      <c r="KV31" s="18">
        <v>9.59</v>
      </c>
      <c r="KW31" s="17">
        <v>9</v>
      </c>
      <c r="KX31" s="17">
        <v>8.57</v>
      </c>
      <c r="KY31" s="18">
        <v>8.0299999999999994</v>
      </c>
      <c r="KZ31" s="17">
        <v>9.4799999999999986</v>
      </c>
      <c r="LA31" s="17">
        <v>9.67</v>
      </c>
      <c r="LB31" s="17">
        <v>10.36</v>
      </c>
      <c r="LC31" s="17">
        <v>10.719999999999999</v>
      </c>
      <c r="LD31" s="17">
        <v>11.7</v>
      </c>
      <c r="LE31" s="17">
        <v>11.459999999999999</v>
      </c>
      <c r="LF31" s="17">
        <v>11.85</v>
      </c>
      <c r="LG31" s="8">
        <v>11.21</v>
      </c>
      <c r="LH31" s="18">
        <v>12.639999999999999</v>
      </c>
      <c r="LI31" s="18">
        <v>11.95</v>
      </c>
      <c r="LJ31" s="18">
        <v>11.309999999999999</v>
      </c>
      <c r="LK31" s="18">
        <v>11.18</v>
      </c>
      <c r="LL31" s="18">
        <v>11.059999999999999</v>
      </c>
      <c r="LM31" s="18">
        <v>11.459999999999999</v>
      </c>
      <c r="LN31" s="18">
        <v>10.649999999999999</v>
      </c>
      <c r="LO31" s="18">
        <v>10.62</v>
      </c>
      <c r="LP31" s="18">
        <v>10.78</v>
      </c>
      <c r="LQ31" s="18">
        <v>10.61</v>
      </c>
      <c r="LR31" s="18">
        <v>10.59</v>
      </c>
      <c r="LS31" s="18">
        <v>9.94</v>
      </c>
      <c r="LT31" s="18">
        <v>9.92</v>
      </c>
      <c r="LU31" s="18">
        <v>12.01</v>
      </c>
      <c r="LV31" s="17">
        <v>12.209999999999999</v>
      </c>
      <c r="LW31" s="17">
        <v>13.62</v>
      </c>
      <c r="LX31" s="17">
        <v>11.75</v>
      </c>
      <c r="LY31" s="17">
        <v>12.44</v>
      </c>
      <c r="LZ31" s="17">
        <v>12.01</v>
      </c>
      <c r="MA31" s="17">
        <v>12.71</v>
      </c>
      <c r="MB31" s="17">
        <v>12.91</v>
      </c>
      <c r="MC31" s="17">
        <v>12.09</v>
      </c>
      <c r="MD31" s="17">
        <v>12.78</v>
      </c>
      <c r="ME31" s="17">
        <v>14.7</v>
      </c>
      <c r="MF31" s="17">
        <v>14.24</v>
      </c>
      <c r="MG31" s="17">
        <v>13.19</v>
      </c>
      <c r="MH31" s="17">
        <v>13.02</v>
      </c>
      <c r="MI31" s="17">
        <v>12.639999999999999</v>
      </c>
      <c r="MJ31" s="17">
        <v>12.94</v>
      </c>
      <c r="MK31" s="17">
        <v>12.639999999999999</v>
      </c>
      <c r="ML31" s="17">
        <v>12.84</v>
      </c>
      <c r="MM31" s="27">
        <v>12.1</v>
      </c>
      <c r="MN31" s="27">
        <f>VLOOKUP(B31,[1]Sheet1!$A:$N,7,0)</f>
        <v>12.4</v>
      </c>
      <c r="MO31" s="27">
        <f>VLOOKUP(B31,[1]Sheet1!$A:$N,8,0)</f>
        <v>14.24</v>
      </c>
      <c r="MP31" s="27">
        <f>VLOOKUP(B31,[1]Sheet1!$A:$N,9,0)</f>
        <v>12.93</v>
      </c>
      <c r="MQ31" s="27">
        <f>VLOOKUP(B31,[1]Sheet1!$A:$N,10,0)</f>
        <v>14.78</v>
      </c>
      <c r="MR31" s="27">
        <f>VLOOKUP(B31,[1]Sheet1!$A:$N,11,0)</f>
        <v>13.5</v>
      </c>
      <c r="MS31" s="27">
        <f>VLOOKUP(B31,[1]Sheet1!$A:$N,12,0)</f>
        <v>12.76</v>
      </c>
      <c r="MT31" s="27">
        <f>VLOOKUP(B31,[1]Sheet1!$A:$N,13,0)</f>
        <v>12.13</v>
      </c>
      <c r="MU31" s="27">
        <f>VLOOKUP(B31,[1]Sheet1!$A:$N,14,0)</f>
        <v>11.79</v>
      </c>
    </row>
    <row r="32" spans="1:359" s="27" customFormat="1" ht="18.75" customHeight="1" x14ac:dyDescent="0.25">
      <c r="A32" s="8" t="s">
        <v>0</v>
      </c>
      <c r="B32" s="8">
        <v>20200</v>
      </c>
      <c r="C32" s="9" t="s">
        <v>20</v>
      </c>
      <c r="D32" s="10" t="s">
        <v>42</v>
      </c>
      <c r="E32" s="10" t="s">
        <v>74</v>
      </c>
      <c r="F32" s="11" t="s">
        <v>28</v>
      </c>
      <c r="G32" s="39" t="s">
        <v>5</v>
      </c>
      <c r="H32" s="41">
        <v>31</v>
      </c>
      <c r="I32" s="13" t="s">
        <v>2</v>
      </c>
      <c r="J32" s="28">
        <v>18.61</v>
      </c>
      <c r="K32" s="15">
        <v>16.504116</v>
      </c>
      <c r="L32" s="15">
        <v>80.692363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29">
        <v>1.69</v>
      </c>
      <c r="AL32" s="29">
        <v>1.71</v>
      </c>
      <c r="AM32" s="29">
        <v>1.83</v>
      </c>
      <c r="AN32" s="29">
        <v>1.97</v>
      </c>
      <c r="AO32" s="29">
        <v>2.12</v>
      </c>
      <c r="AP32" s="29">
        <v>2.6</v>
      </c>
      <c r="AQ32" s="29">
        <v>2.87</v>
      </c>
      <c r="AR32" s="29">
        <v>2.99</v>
      </c>
      <c r="AS32" s="29">
        <v>0.99</v>
      </c>
      <c r="AT32" s="29">
        <v>1.8</v>
      </c>
      <c r="AU32" s="29">
        <v>2.0499999999999998</v>
      </c>
      <c r="AV32" s="29">
        <v>3.13</v>
      </c>
      <c r="AW32" s="29">
        <v>4.24</v>
      </c>
      <c r="AX32" s="29">
        <v>4.3</v>
      </c>
      <c r="AY32" s="29">
        <v>4.4000000000000004</v>
      </c>
      <c r="AZ32" s="29">
        <v>4.4800000000000004</v>
      </c>
      <c r="BA32" s="29">
        <v>4.5250000000000004</v>
      </c>
      <c r="BB32" s="29">
        <v>3.7</v>
      </c>
      <c r="BC32" s="29">
        <v>3</v>
      </c>
      <c r="BD32" s="29">
        <v>2.9950000000000001</v>
      </c>
      <c r="BE32" s="29">
        <v>3.59</v>
      </c>
      <c r="BF32" s="29">
        <v>3.77</v>
      </c>
      <c r="BG32" s="29">
        <v>4.04</v>
      </c>
      <c r="BH32" s="29">
        <v>4.1100000000000003</v>
      </c>
      <c r="BI32" s="29">
        <v>3.69</v>
      </c>
      <c r="BJ32" s="29">
        <v>4.0759999999999996</v>
      </c>
      <c r="BK32" s="29">
        <v>4.3650000000000002</v>
      </c>
      <c r="BL32" s="29">
        <v>4.5449999999999999</v>
      </c>
      <c r="BM32" s="29">
        <v>5.125</v>
      </c>
      <c r="BN32" s="29">
        <v>4.5350000000000001</v>
      </c>
      <c r="BO32" s="29">
        <v>4.9000000000000004</v>
      </c>
      <c r="BP32" s="29">
        <v>4.13</v>
      </c>
      <c r="BQ32" s="29">
        <v>3.77</v>
      </c>
      <c r="BR32" s="29">
        <v>2.64</v>
      </c>
      <c r="BS32" s="29">
        <v>3.2349999999999999</v>
      </c>
      <c r="BT32" s="29">
        <v>3.73</v>
      </c>
      <c r="BU32" s="29">
        <v>3.8849999999999998</v>
      </c>
      <c r="BV32" s="29">
        <v>4.1849999999999996</v>
      </c>
      <c r="BW32" s="29">
        <v>4.3499999999999996</v>
      </c>
      <c r="BX32" s="29">
        <v>4.9950000000000001</v>
      </c>
      <c r="BY32" s="29">
        <v>5.15</v>
      </c>
      <c r="BZ32" s="29">
        <v>5.31</v>
      </c>
      <c r="CA32" s="29">
        <v>5.585</v>
      </c>
      <c r="CB32" s="29">
        <v>5.4349999999999996</v>
      </c>
      <c r="CC32" s="29">
        <v>5.1849999999999996</v>
      </c>
      <c r="CD32" s="29">
        <v>5.125</v>
      </c>
      <c r="CE32" s="29">
        <v>5.3049999999999997</v>
      </c>
      <c r="CF32" s="29">
        <v>5.3449999999999998</v>
      </c>
      <c r="CG32" s="29">
        <v>5.625</v>
      </c>
      <c r="CH32" s="29">
        <v>5.7649999999999997</v>
      </c>
      <c r="CI32" s="29">
        <v>5.8</v>
      </c>
      <c r="CJ32" s="29">
        <v>5.96</v>
      </c>
      <c r="CK32" s="29">
        <v>6.665</v>
      </c>
      <c r="CL32" s="29">
        <v>6.9349999999999996</v>
      </c>
      <c r="CM32" s="29">
        <v>6.875</v>
      </c>
      <c r="CN32" s="29">
        <v>6.3449999999999998</v>
      </c>
      <c r="CO32" s="29">
        <v>6.6849999999999996</v>
      </c>
      <c r="CP32" s="29">
        <v>6.0049999999999999</v>
      </c>
      <c r="CQ32" s="29">
        <v>6.3650000000000002</v>
      </c>
      <c r="CR32" s="29">
        <v>6.24</v>
      </c>
      <c r="CS32" s="29">
        <v>5.8849999999999998</v>
      </c>
      <c r="CT32" s="29">
        <v>10.785</v>
      </c>
      <c r="CU32" s="29">
        <v>11.725</v>
      </c>
      <c r="CV32" s="29">
        <v>12.3</v>
      </c>
      <c r="CW32" s="29">
        <v>11.89</v>
      </c>
      <c r="CX32" s="29">
        <v>12.19</v>
      </c>
      <c r="CY32" s="29">
        <v>12.6</v>
      </c>
      <c r="CZ32" s="29">
        <v>12.765000000000001</v>
      </c>
      <c r="DA32" s="29">
        <v>12.805</v>
      </c>
      <c r="DB32" s="29">
        <v>12.115</v>
      </c>
      <c r="DC32" s="29">
        <v>11.99</v>
      </c>
      <c r="DD32" s="29">
        <v>11.225</v>
      </c>
      <c r="DE32" s="29">
        <v>11.305</v>
      </c>
      <c r="DF32" s="29">
        <v>11.484999999999999</v>
      </c>
      <c r="DG32" s="29">
        <v>11.535</v>
      </c>
      <c r="DH32" s="29">
        <v>12.445</v>
      </c>
      <c r="DI32" s="29">
        <v>12.91</v>
      </c>
      <c r="DJ32" s="29">
        <v>13.225</v>
      </c>
      <c r="DK32" s="29">
        <v>11.42</v>
      </c>
      <c r="DL32" s="29">
        <v>12.175000000000001</v>
      </c>
      <c r="DM32" s="29">
        <v>11.535</v>
      </c>
      <c r="DN32" s="29">
        <v>10.795</v>
      </c>
      <c r="DO32" s="29">
        <v>10.685</v>
      </c>
      <c r="DP32" s="29">
        <v>10.345000000000001</v>
      </c>
      <c r="DQ32" s="29">
        <v>10.785</v>
      </c>
      <c r="DR32" s="29">
        <v>10.965</v>
      </c>
      <c r="DS32" s="29">
        <v>8.875</v>
      </c>
      <c r="DT32" s="29">
        <v>10.975</v>
      </c>
      <c r="DU32" s="29">
        <v>11.14</v>
      </c>
      <c r="DV32" s="29">
        <v>11.44</v>
      </c>
      <c r="DW32" s="29">
        <v>13.244999999999999</v>
      </c>
      <c r="DX32" s="29">
        <v>13.005000000000001</v>
      </c>
      <c r="DY32" s="29">
        <v>10.765000000000001</v>
      </c>
      <c r="DZ32" s="29">
        <v>11.645</v>
      </c>
      <c r="EA32" s="29">
        <v>9.0050000000000008</v>
      </c>
      <c r="EB32" s="29">
        <v>8.9350000000000005</v>
      </c>
      <c r="EC32" s="29">
        <v>9.3550000000000004</v>
      </c>
      <c r="ED32" s="29">
        <v>10.105</v>
      </c>
      <c r="EE32" s="29">
        <v>10.7</v>
      </c>
      <c r="EF32" s="29">
        <v>11.045</v>
      </c>
      <c r="EG32" s="29">
        <v>11.185</v>
      </c>
      <c r="EH32" s="29">
        <v>11.385</v>
      </c>
      <c r="EI32" s="29">
        <v>12.205</v>
      </c>
      <c r="EJ32" s="29">
        <v>11.725</v>
      </c>
      <c r="EK32" s="29">
        <v>9.8949999999999996</v>
      </c>
      <c r="EL32" s="29">
        <v>8.7550000000000008</v>
      </c>
      <c r="EM32" s="29">
        <v>8.8650000000000002</v>
      </c>
      <c r="EN32" s="29">
        <v>8.9749999999999996</v>
      </c>
      <c r="EO32" s="29">
        <v>10.494999999999999</v>
      </c>
      <c r="EP32" s="29">
        <v>10.59</v>
      </c>
      <c r="EQ32" s="29">
        <v>9</v>
      </c>
      <c r="ER32" s="29">
        <v>9.1199999999999992</v>
      </c>
      <c r="ES32" s="29">
        <v>10.96</v>
      </c>
      <c r="ET32" s="29">
        <v>11.52</v>
      </c>
      <c r="EU32" s="29">
        <v>11</v>
      </c>
      <c r="EV32" s="29">
        <v>9.99</v>
      </c>
      <c r="EW32" s="29">
        <v>9.67</v>
      </c>
      <c r="EX32" s="29">
        <v>11.29</v>
      </c>
      <c r="EY32" s="29">
        <v>10.39</v>
      </c>
      <c r="EZ32" s="29">
        <v>10.050000000000001</v>
      </c>
      <c r="FA32" s="29">
        <v>11.32</v>
      </c>
      <c r="FB32" s="29">
        <v>11.9</v>
      </c>
      <c r="FC32" s="29">
        <v>12.43</v>
      </c>
      <c r="FD32" s="29">
        <v>12.494999999999999</v>
      </c>
      <c r="FE32" s="29">
        <v>13</v>
      </c>
      <c r="FF32" s="29">
        <v>13.11</v>
      </c>
      <c r="FG32" s="29">
        <v>13.26</v>
      </c>
      <c r="FH32" s="29">
        <v>12.89</v>
      </c>
      <c r="FI32" s="29">
        <v>12</v>
      </c>
      <c r="FJ32" s="29">
        <v>11.83</v>
      </c>
      <c r="FK32" s="29">
        <v>12.69</v>
      </c>
      <c r="FL32" s="29">
        <v>12.98</v>
      </c>
      <c r="FM32" s="29">
        <v>13.11</v>
      </c>
      <c r="FN32" s="29">
        <v>13.32</v>
      </c>
      <c r="FO32" s="29">
        <v>13.33</v>
      </c>
      <c r="FP32" s="29">
        <v>13.38</v>
      </c>
      <c r="FQ32" s="29">
        <v>12.72</v>
      </c>
      <c r="FR32" s="29">
        <v>12.61</v>
      </c>
      <c r="FS32" s="29">
        <v>11.49</v>
      </c>
      <c r="FT32" s="29">
        <v>11</v>
      </c>
      <c r="FU32" s="29">
        <v>9.59</v>
      </c>
      <c r="FV32" s="29">
        <v>10.29</v>
      </c>
      <c r="FW32" s="29">
        <v>10.51</v>
      </c>
      <c r="FX32" s="29">
        <v>11.72</v>
      </c>
      <c r="FY32" s="29">
        <v>11.79</v>
      </c>
      <c r="FZ32" s="29">
        <v>12.04</v>
      </c>
      <c r="GA32" s="29">
        <v>13.15</v>
      </c>
      <c r="GB32" s="29">
        <v>13.21</v>
      </c>
      <c r="GC32" s="29">
        <v>13.29</v>
      </c>
      <c r="GD32" s="29">
        <v>13.18</v>
      </c>
      <c r="GE32" s="29">
        <v>13.35</v>
      </c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2">
        <v>10.09</v>
      </c>
      <c r="GZ32" s="12">
        <v>12.47</v>
      </c>
      <c r="HA32" s="12">
        <v>12.54</v>
      </c>
      <c r="HB32" s="12">
        <v>12.63</v>
      </c>
      <c r="HC32" s="12">
        <v>12.91</v>
      </c>
      <c r="HD32" s="12">
        <v>13.05</v>
      </c>
      <c r="HE32" s="12">
        <v>12.95</v>
      </c>
      <c r="HF32" s="12">
        <v>5.69</v>
      </c>
      <c r="HG32" s="12">
        <v>10.220000000000001</v>
      </c>
      <c r="HH32" s="12">
        <v>10.19</v>
      </c>
      <c r="HI32" s="12">
        <v>10.76</v>
      </c>
      <c r="HJ32" s="12">
        <v>11.94</v>
      </c>
      <c r="HK32" s="12">
        <v>12.22</v>
      </c>
      <c r="HL32" s="12">
        <v>12.48</v>
      </c>
      <c r="HM32" s="12">
        <v>12.41</v>
      </c>
      <c r="HN32" s="12">
        <v>12.45</v>
      </c>
      <c r="HO32" s="12">
        <v>12.78</v>
      </c>
      <c r="HP32" s="12">
        <v>13.05</v>
      </c>
      <c r="HQ32" s="12">
        <v>13.18</v>
      </c>
      <c r="HR32" s="12">
        <v>13.33</v>
      </c>
      <c r="HS32" s="12">
        <v>13.13</v>
      </c>
      <c r="HT32" s="12">
        <v>13.06</v>
      </c>
      <c r="HU32" s="12">
        <v>13.17</v>
      </c>
      <c r="HV32" s="12">
        <v>13.48</v>
      </c>
      <c r="HW32" s="12">
        <v>13.71</v>
      </c>
      <c r="HX32" s="12">
        <v>13.87</v>
      </c>
      <c r="HY32" s="12">
        <v>14.02</v>
      </c>
      <c r="HZ32" s="12">
        <v>14.23</v>
      </c>
      <c r="IA32" s="12">
        <v>14.35</v>
      </c>
      <c r="IB32" s="12">
        <v>14.43</v>
      </c>
      <c r="IC32" s="12">
        <v>14.69</v>
      </c>
      <c r="ID32" s="12">
        <v>15.06</v>
      </c>
      <c r="IE32" s="12">
        <v>15.1</v>
      </c>
      <c r="IF32" s="12">
        <v>15.28</v>
      </c>
      <c r="IG32" s="12">
        <v>15.63</v>
      </c>
      <c r="IH32" s="12">
        <v>15.98</v>
      </c>
      <c r="II32" s="12">
        <v>16.43</v>
      </c>
      <c r="IJ32" s="12">
        <v>16.579999999999998</v>
      </c>
      <c r="IK32" s="12">
        <v>16.8</v>
      </c>
      <c r="IL32" s="12">
        <v>16.899999999999999</v>
      </c>
      <c r="IM32" s="12">
        <v>16.97</v>
      </c>
      <c r="IN32" s="12">
        <v>17.260000000000002</v>
      </c>
      <c r="IO32" s="12">
        <v>17.399999999999999</v>
      </c>
      <c r="IP32" s="12">
        <v>17.53</v>
      </c>
      <c r="IQ32" s="12">
        <v>17.7</v>
      </c>
      <c r="IR32" s="12">
        <v>17.739999999999998</v>
      </c>
      <c r="IS32" s="12">
        <v>18.100000000000001</v>
      </c>
      <c r="IT32" s="12">
        <v>18.34</v>
      </c>
      <c r="IU32" s="12">
        <v>18.72</v>
      </c>
      <c r="IV32" s="12">
        <v>18.82</v>
      </c>
      <c r="IW32" s="18">
        <v>19.13</v>
      </c>
      <c r="IX32" s="18">
        <v>19.03</v>
      </c>
      <c r="IY32" s="18">
        <v>19.04</v>
      </c>
      <c r="IZ32" s="19">
        <v>19.170000000000002</v>
      </c>
      <c r="JA32" s="20">
        <v>19.170000000000002</v>
      </c>
      <c r="JB32" s="20">
        <v>19.3</v>
      </c>
      <c r="JC32" s="20">
        <v>19.440000000000001</v>
      </c>
      <c r="JD32" s="20">
        <v>19.53</v>
      </c>
      <c r="JE32" s="20">
        <v>19.73</v>
      </c>
      <c r="JF32" s="21">
        <v>19.93</v>
      </c>
      <c r="JG32" s="22">
        <v>20.18</v>
      </c>
      <c r="JH32" s="22">
        <v>20.45</v>
      </c>
      <c r="JI32" s="20">
        <v>20.53</v>
      </c>
      <c r="JJ32" s="23">
        <v>20.62</v>
      </c>
      <c r="JK32" s="24">
        <v>20.77</v>
      </c>
      <c r="JL32" s="24">
        <v>20.75</v>
      </c>
      <c r="JM32" s="25">
        <v>20.9</v>
      </c>
      <c r="JN32" s="25">
        <v>21.02</v>
      </c>
      <c r="JO32" s="17">
        <v>21.01</v>
      </c>
      <c r="JP32" s="17">
        <v>21.02</v>
      </c>
      <c r="JQ32" s="25">
        <v>20.94</v>
      </c>
      <c r="JR32" s="25">
        <v>21.2</v>
      </c>
      <c r="JS32" s="25">
        <v>21.39</v>
      </c>
      <c r="JT32" s="25">
        <v>21.24</v>
      </c>
      <c r="JU32" s="17">
        <v>22.12</v>
      </c>
      <c r="JV32" s="18">
        <v>22.35</v>
      </c>
      <c r="JW32" s="18">
        <v>22.55</v>
      </c>
      <c r="JX32" s="18">
        <v>22.58</v>
      </c>
      <c r="JY32" s="18">
        <v>22.52</v>
      </c>
      <c r="JZ32" s="18">
        <v>22.2</v>
      </c>
      <c r="KA32" s="18">
        <v>22.09</v>
      </c>
      <c r="KB32" s="18">
        <v>21.86</v>
      </c>
      <c r="KC32" s="18">
        <v>21.98</v>
      </c>
      <c r="KD32" s="18">
        <v>22.38</v>
      </c>
      <c r="KE32" s="18">
        <v>22.78</v>
      </c>
      <c r="KF32" s="18">
        <v>23.18</v>
      </c>
      <c r="KG32" s="26">
        <v>22.66</v>
      </c>
      <c r="KH32" s="26">
        <v>22.66</v>
      </c>
      <c r="KI32" s="26">
        <v>22.92</v>
      </c>
      <c r="KJ32" s="26">
        <v>23.18</v>
      </c>
      <c r="KK32" s="26">
        <v>22.63</v>
      </c>
      <c r="KL32" s="18">
        <v>21.78</v>
      </c>
      <c r="KM32" s="26">
        <v>22.03</v>
      </c>
      <c r="KN32" s="18">
        <v>21.81</v>
      </c>
      <c r="KO32" s="18">
        <v>21.48</v>
      </c>
      <c r="KP32" s="18">
        <v>21.73</v>
      </c>
      <c r="KQ32" s="18">
        <v>21.98</v>
      </c>
      <c r="KR32" s="18">
        <v>22.26</v>
      </c>
      <c r="KS32" s="18">
        <v>22.19</v>
      </c>
      <c r="KT32" s="18">
        <v>22.37</v>
      </c>
      <c r="KU32" s="26">
        <v>21.6</v>
      </c>
      <c r="KV32" s="18">
        <v>20.63</v>
      </c>
      <c r="KW32" s="17">
        <v>20.84</v>
      </c>
      <c r="KX32" s="17">
        <v>20.5</v>
      </c>
      <c r="KY32" s="18">
        <v>21.2</v>
      </c>
      <c r="KZ32" s="17">
        <v>22.04</v>
      </c>
      <c r="LA32" s="17">
        <v>21.93</v>
      </c>
      <c r="LB32" s="17">
        <v>21.67</v>
      </c>
      <c r="LC32" s="17">
        <v>21.830000000000002</v>
      </c>
      <c r="LD32" s="17">
        <v>22.650000000000002</v>
      </c>
      <c r="LE32" s="17">
        <v>22.03</v>
      </c>
      <c r="LF32" s="17">
        <v>22.12</v>
      </c>
      <c r="LG32" s="8">
        <v>21.6</v>
      </c>
      <c r="LH32" s="18">
        <v>22.28</v>
      </c>
      <c r="LI32" s="18">
        <v>22.36</v>
      </c>
      <c r="LJ32" s="18">
        <v>21.84</v>
      </c>
      <c r="LK32" s="18">
        <v>22.13</v>
      </c>
      <c r="LL32" s="18">
        <v>22.02</v>
      </c>
      <c r="LM32" s="18">
        <v>22.12</v>
      </c>
      <c r="LN32" s="18">
        <v>22.2</v>
      </c>
      <c r="LO32" s="18">
        <v>22.41</v>
      </c>
      <c r="LP32" s="18">
        <v>22.580000000000002</v>
      </c>
      <c r="LQ32" s="18">
        <v>22.68</v>
      </c>
      <c r="LR32" s="18">
        <v>22.84</v>
      </c>
      <c r="LS32" s="18">
        <v>22.98</v>
      </c>
      <c r="LT32" s="18">
        <v>23.080000000000002</v>
      </c>
      <c r="LU32" s="18">
        <v>22.84</v>
      </c>
      <c r="LV32" s="17">
        <v>23</v>
      </c>
      <c r="LW32" s="17">
        <v>22.64</v>
      </c>
      <c r="LX32" s="17">
        <v>22.240000000000002</v>
      </c>
      <c r="LY32" s="17">
        <v>22.470000000000002</v>
      </c>
      <c r="LZ32" s="17">
        <v>22.03</v>
      </c>
      <c r="MA32" s="17">
        <v>22.8</v>
      </c>
      <c r="MB32" s="17">
        <v>23.080000000000002</v>
      </c>
      <c r="MC32" s="17">
        <v>22.900000000000002</v>
      </c>
      <c r="MD32" s="17">
        <v>23.310000000000002</v>
      </c>
      <c r="ME32" s="17">
        <v>21.55</v>
      </c>
      <c r="MF32" s="17">
        <v>21.44</v>
      </c>
      <c r="MG32" s="17">
        <v>20.350000000000001</v>
      </c>
      <c r="MH32" s="17">
        <v>20.130000000000003</v>
      </c>
      <c r="MI32" s="17">
        <v>20.46</v>
      </c>
      <c r="MJ32" s="17">
        <v>22.57</v>
      </c>
      <c r="MK32" s="17">
        <v>22.630000000000003</v>
      </c>
      <c r="ML32" s="17">
        <v>22.76</v>
      </c>
      <c r="MM32" s="27">
        <v>23.01</v>
      </c>
      <c r="MN32" s="27">
        <f>VLOOKUP(B32,[1]Sheet1!$A:$N,7,0)</f>
        <v>23.27</v>
      </c>
      <c r="MO32" s="27">
        <f>VLOOKUP(B32,[1]Sheet1!$A:$N,8,0)</f>
        <v>21.44</v>
      </c>
      <c r="MP32" s="27">
        <f>VLOOKUP(B32,[1]Sheet1!$A:$N,9,0)</f>
        <v>23.58</v>
      </c>
      <c r="MQ32" s="27">
        <f>VLOOKUP(B32,[1]Sheet1!$A:$N,10,0)</f>
        <v>24.14</v>
      </c>
      <c r="MR32" s="27">
        <f>VLOOKUP(B32,[1]Sheet1!$A:$N,11,0)</f>
        <v>23.680000000000003</v>
      </c>
      <c r="MS32" s="27">
        <f>VLOOKUP(B32,[1]Sheet1!$A:$N,12,0)</f>
        <v>23.57</v>
      </c>
      <c r="MT32" s="27">
        <f>VLOOKUP(B32,[1]Sheet1!$A:$N,13,0)</f>
        <v>23.24</v>
      </c>
      <c r="MU32" s="27">
        <f>VLOOKUP(B32,[1]Sheet1!$A:$N,14,0)</f>
        <v>23.610000000000003</v>
      </c>
    </row>
    <row r="33" spans="1:359" s="27" customFormat="1" ht="18.75" customHeight="1" x14ac:dyDescent="0.25">
      <c r="A33" s="8" t="s">
        <v>0</v>
      </c>
      <c r="B33" s="8">
        <v>20201</v>
      </c>
      <c r="C33" s="9" t="s">
        <v>20</v>
      </c>
      <c r="D33" s="10" t="s">
        <v>75</v>
      </c>
      <c r="E33" s="10" t="s">
        <v>75</v>
      </c>
      <c r="F33" s="11" t="s">
        <v>67</v>
      </c>
      <c r="G33" s="39" t="s">
        <v>5</v>
      </c>
      <c r="H33" s="41">
        <v>25</v>
      </c>
      <c r="I33" s="13" t="s">
        <v>2</v>
      </c>
      <c r="J33" s="28">
        <v>12.54</v>
      </c>
      <c r="K33" s="15">
        <v>16.345758</v>
      </c>
      <c r="L33" s="15">
        <v>80.787797999999995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2">
        <v>4.3</v>
      </c>
      <c r="GZ33" s="12">
        <v>4.42</v>
      </c>
      <c r="HA33" s="12">
        <v>4.47</v>
      </c>
      <c r="HB33" s="12">
        <v>4.62</v>
      </c>
      <c r="HC33" s="12">
        <v>4.68</v>
      </c>
      <c r="HD33" s="12">
        <v>4.76</v>
      </c>
      <c r="HE33" s="12">
        <v>4.72</v>
      </c>
      <c r="HF33" s="12">
        <v>4.01</v>
      </c>
      <c r="HG33" s="12">
        <v>1.33</v>
      </c>
      <c r="HH33" s="12">
        <v>1.59</v>
      </c>
      <c r="HI33" s="12">
        <v>1.67</v>
      </c>
      <c r="HJ33" s="12">
        <v>2.2200000000000002</v>
      </c>
      <c r="HK33" s="12">
        <v>1.94</v>
      </c>
      <c r="HL33" s="12">
        <v>1.97</v>
      </c>
      <c r="HM33" s="12">
        <v>2.04</v>
      </c>
      <c r="HN33" s="12">
        <v>2.2400000000000002</v>
      </c>
      <c r="HO33" s="12">
        <v>2.33</v>
      </c>
      <c r="HP33" s="12">
        <v>2.44</v>
      </c>
      <c r="HQ33" s="12">
        <v>2.5499999999999998</v>
      </c>
      <c r="HR33" s="12">
        <v>2.5</v>
      </c>
      <c r="HS33" s="12">
        <v>2.6</v>
      </c>
      <c r="HT33" s="12">
        <v>2.75</v>
      </c>
      <c r="HU33" s="12">
        <v>2.78</v>
      </c>
      <c r="HV33" s="12">
        <v>2.82</v>
      </c>
      <c r="HW33" s="12">
        <v>2.87</v>
      </c>
      <c r="HX33" s="12">
        <v>2.92</v>
      </c>
      <c r="HY33" s="12">
        <v>2.95</v>
      </c>
      <c r="HZ33" s="12">
        <v>3.13</v>
      </c>
      <c r="IA33" s="12">
        <v>3.17</v>
      </c>
      <c r="IB33" s="12">
        <v>7.2</v>
      </c>
      <c r="IC33" s="12">
        <v>6.35</v>
      </c>
      <c r="ID33" s="12">
        <v>6.51</v>
      </c>
      <c r="IE33" s="12">
        <v>6.94</v>
      </c>
      <c r="IF33" s="12">
        <v>6.53</v>
      </c>
      <c r="IG33" s="12">
        <v>6.95</v>
      </c>
      <c r="IH33" s="12">
        <v>7.22</v>
      </c>
      <c r="II33" s="12">
        <v>7.34</v>
      </c>
      <c r="IJ33" s="12">
        <v>7.72</v>
      </c>
      <c r="IK33" s="12">
        <v>7.92</v>
      </c>
      <c r="IL33" s="12">
        <v>7.74</v>
      </c>
      <c r="IM33" s="12">
        <v>8</v>
      </c>
      <c r="IN33" s="12">
        <v>8.31</v>
      </c>
      <c r="IO33" s="12">
        <v>7.85</v>
      </c>
      <c r="IP33" s="12">
        <v>5.84</v>
      </c>
      <c r="IQ33" s="12">
        <v>6.19</v>
      </c>
      <c r="IR33" s="12">
        <v>6.12</v>
      </c>
      <c r="IS33" s="12">
        <v>6.47</v>
      </c>
      <c r="IT33" s="12">
        <v>6.74</v>
      </c>
      <c r="IU33" s="12">
        <v>7.05</v>
      </c>
      <c r="IV33" s="12">
        <v>7.48</v>
      </c>
      <c r="IW33" s="18">
        <v>7.82</v>
      </c>
      <c r="IX33" s="18">
        <v>7.91</v>
      </c>
      <c r="IY33" s="18">
        <v>8.1199999999999992</v>
      </c>
      <c r="IZ33" s="19">
        <v>8.02</v>
      </c>
      <c r="JA33" s="20">
        <v>7.53</v>
      </c>
      <c r="JB33" s="20">
        <v>7.59</v>
      </c>
      <c r="JC33" s="20">
        <v>7.67</v>
      </c>
      <c r="JD33" s="20">
        <v>7.2</v>
      </c>
      <c r="JE33" s="20">
        <v>7.55</v>
      </c>
      <c r="JF33" s="21">
        <v>7.85</v>
      </c>
      <c r="JG33" s="22">
        <v>8.11</v>
      </c>
      <c r="JH33" s="22">
        <v>8.4</v>
      </c>
      <c r="JI33" s="20">
        <v>8.57</v>
      </c>
      <c r="JJ33" s="23">
        <v>6.72</v>
      </c>
      <c r="JK33" s="24">
        <v>8.73</v>
      </c>
      <c r="JL33" s="24">
        <v>7.52</v>
      </c>
      <c r="JM33" s="17">
        <v>6.78</v>
      </c>
      <c r="JN33" s="17">
        <v>6.87</v>
      </c>
      <c r="JO33" s="17">
        <v>6.89</v>
      </c>
      <c r="JP33" s="17">
        <v>6.87</v>
      </c>
      <c r="JQ33" s="17">
        <v>6.88</v>
      </c>
      <c r="JR33" s="17">
        <v>7.44</v>
      </c>
      <c r="JS33" s="17">
        <v>7.74</v>
      </c>
      <c r="JT33" s="17">
        <v>8.0500000000000007</v>
      </c>
      <c r="JU33" s="17">
        <v>8.2899999999999991</v>
      </c>
      <c r="JV33" s="18">
        <v>8.64</v>
      </c>
      <c r="JW33" s="18">
        <v>9.2200000000000006</v>
      </c>
      <c r="JX33" s="18">
        <v>7.85</v>
      </c>
      <c r="JY33" s="18">
        <v>5.17</v>
      </c>
      <c r="JZ33" s="18">
        <v>4.47</v>
      </c>
      <c r="KA33" s="18">
        <v>4.29</v>
      </c>
      <c r="KB33" s="18">
        <v>4.53</v>
      </c>
      <c r="KC33" s="18">
        <v>5.57</v>
      </c>
      <c r="KD33" s="18">
        <v>6.32</v>
      </c>
      <c r="KE33" s="18">
        <v>7.07</v>
      </c>
      <c r="KF33" s="18">
        <v>7.82</v>
      </c>
      <c r="KG33" s="26">
        <v>8.8000000000000007</v>
      </c>
      <c r="KH33" s="26">
        <v>6.84</v>
      </c>
      <c r="KI33" s="26">
        <v>7.92</v>
      </c>
      <c r="KJ33" s="26">
        <v>7.04</v>
      </c>
      <c r="KK33" s="26">
        <v>5.67</v>
      </c>
      <c r="KL33" s="18">
        <v>0.66</v>
      </c>
      <c r="KM33" s="26">
        <v>2.7199999999999998</v>
      </c>
      <c r="KN33" s="18">
        <v>4.57</v>
      </c>
      <c r="KO33" s="18">
        <v>5.32</v>
      </c>
      <c r="KP33" s="18">
        <v>5</v>
      </c>
      <c r="KQ33" s="18">
        <v>6.92</v>
      </c>
      <c r="KR33" s="18">
        <v>7.24</v>
      </c>
      <c r="KS33" s="18">
        <v>7.5400000000000009</v>
      </c>
      <c r="KT33" s="18">
        <v>7.3000000000000007</v>
      </c>
      <c r="KU33" s="26">
        <v>6.7700000000000005</v>
      </c>
      <c r="KV33" s="18">
        <v>6.07</v>
      </c>
      <c r="KW33" s="17">
        <v>5.21</v>
      </c>
      <c r="KX33" s="17">
        <v>5.08</v>
      </c>
      <c r="KY33" s="18">
        <v>4.3500000000000005</v>
      </c>
      <c r="KZ33" s="17">
        <v>4.9700000000000006</v>
      </c>
      <c r="LA33" s="17">
        <v>5.32</v>
      </c>
      <c r="LB33" s="17">
        <v>5.71</v>
      </c>
      <c r="LC33" s="17">
        <v>6.5</v>
      </c>
      <c r="LD33" s="17">
        <v>7.3600000000000012</v>
      </c>
      <c r="LE33" s="17">
        <v>6.95</v>
      </c>
      <c r="LF33" s="17">
        <v>7.42</v>
      </c>
      <c r="LG33" s="8">
        <v>6.74</v>
      </c>
      <c r="LH33" s="18">
        <v>4.7200000000000006</v>
      </c>
      <c r="LI33" s="18">
        <v>3.7499999999999996</v>
      </c>
      <c r="LJ33" s="18">
        <v>2.7199999999999998</v>
      </c>
      <c r="LK33" s="18">
        <v>4.24</v>
      </c>
      <c r="LL33" s="18">
        <v>4.42</v>
      </c>
      <c r="LM33" s="18">
        <v>5.42</v>
      </c>
      <c r="LN33" s="18">
        <v>5.7700000000000005</v>
      </c>
      <c r="LO33" s="18">
        <v>6.2200000000000006</v>
      </c>
      <c r="LP33" s="18">
        <v>6.7200000000000006</v>
      </c>
      <c r="LQ33" s="18">
        <v>6.5200000000000005</v>
      </c>
      <c r="LR33" s="18">
        <v>7.09</v>
      </c>
      <c r="LS33" s="18">
        <v>6.62</v>
      </c>
      <c r="LT33" s="18">
        <v>5.96</v>
      </c>
      <c r="LU33" s="18">
        <v>5.84</v>
      </c>
      <c r="LV33" s="17">
        <v>6.4</v>
      </c>
      <c r="LW33" s="17">
        <v>6.84</v>
      </c>
      <c r="LX33" s="17">
        <v>6.09</v>
      </c>
      <c r="LY33" s="17">
        <v>6.3000000000000007</v>
      </c>
      <c r="LZ33" s="17">
        <v>6.42</v>
      </c>
      <c r="MA33" s="17">
        <v>7.33</v>
      </c>
      <c r="MB33" s="17">
        <v>7.82</v>
      </c>
      <c r="MC33" s="17">
        <v>7.9500000000000011</v>
      </c>
      <c r="MD33" s="17">
        <v>8.24</v>
      </c>
      <c r="ME33" s="17">
        <v>8.49</v>
      </c>
      <c r="MF33" s="17">
        <v>7.13</v>
      </c>
      <c r="MG33" s="17">
        <v>4.1000000000000005</v>
      </c>
      <c r="MH33" s="17">
        <v>4.16</v>
      </c>
      <c r="MI33" s="17">
        <v>4.4400000000000004</v>
      </c>
      <c r="MJ33" s="17">
        <v>5.36</v>
      </c>
      <c r="MK33" s="17">
        <v>5.94</v>
      </c>
      <c r="ML33" s="17">
        <v>6.44</v>
      </c>
      <c r="MM33" s="27">
        <v>7.16</v>
      </c>
      <c r="MN33" s="27">
        <f>VLOOKUP(B33,[1]Sheet1!$A:$N,7,0)</f>
        <v>7.62</v>
      </c>
      <c r="MO33" s="27">
        <f>VLOOKUP(B33,[1]Sheet1!$A:$N,8,0)</f>
        <v>7.13</v>
      </c>
      <c r="MP33" s="27">
        <f>VLOOKUP(B33,[1]Sheet1!$A:$N,9,0)</f>
        <v>7.65</v>
      </c>
      <c r="MQ33" s="27">
        <f>VLOOKUP(B33,[1]Sheet1!$A:$N,10,0)</f>
        <v>8.17</v>
      </c>
      <c r="MR33" s="27">
        <f>VLOOKUP(B33,[1]Sheet1!$A:$N,11,0)</f>
        <v>4.6000000000000005</v>
      </c>
      <c r="MS33" s="27">
        <f>VLOOKUP(B33,[1]Sheet1!$A:$N,12,0)</f>
        <v>3.75</v>
      </c>
      <c r="MT33" s="27">
        <f>VLOOKUP(B33,[1]Sheet1!$A:$N,13,0)</f>
        <v>3.35</v>
      </c>
      <c r="MU33" s="27">
        <f>VLOOKUP(B33,[1]Sheet1!$A:$N,14,0)</f>
        <v>3.77</v>
      </c>
    </row>
    <row r="34" spans="1:359" s="27" customFormat="1" ht="18.75" customHeight="1" x14ac:dyDescent="0.25">
      <c r="A34" s="8" t="s">
        <v>0</v>
      </c>
      <c r="B34" s="8">
        <v>20202</v>
      </c>
      <c r="C34" s="9" t="s">
        <v>20</v>
      </c>
      <c r="D34" s="10" t="s">
        <v>44</v>
      </c>
      <c r="E34" s="10" t="s">
        <v>76</v>
      </c>
      <c r="F34" s="11" t="s">
        <v>28</v>
      </c>
      <c r="G34" s="39" t="s">
        <v>5</v>
      </c>
      <c r="H34" s="41">
        <v>40</v>
      </c>
      <c r="I34" s="13" t="s">
        <v>2</v>
      </c>
      <c r="J34" s="28">
        <v>13.52</v>
      </c>
      <c r="K34" s="15">
        <v>16.577662</v>
      </c>
      <c r="L34" s="15">
        <v>80.893282999999997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2">
        <v>6.06</v>
      </c>
      <c r="GZ34" s="12">
        <v>5.59</v>
      </c>
      <c r="HA34" s="12">
        <v>5.39</v>
      </c>
      <c r="HB34" s="12">
        <v>6.16</v>
      </c>
      <c r="HC34" s="12">
        <v>6.22</v>
      </c>
      <c r="HD34" s="12">
        <v>3.74</v>
      </c>
      <c r="HE34" s="12">
        <v>4.33</v>
      </c>
      <c r="HF34" s="12">
        <v>2.99</v>
      </c>
      <c r="HG34" s="12">
        <v>3.79</v>
      </c>
      <c r="HH34" s="12">
        <v>4.9400000000000004</v>
      </c>
      <c r="HI34" s="12">
        <v>4.32</v>
      </c>
      <c r="HJ34" s="12">
        <v>4.82</v>
      </c>
      <c r="HK34" s="12">
        <v>5.0999999999999996</v>
      </c>
      <c r="HL34" s="12">
        <v>4.53</v>
      </c>
      <c r="HM34" s="12">
        <v>5.03</v>
      </c>
      <c r="HN34" s="12">
        <v>6.28</v>
      </c>
      <c r="HO34" s="12">
        <v>6.13</v>
      </c>
      <c r="HP34" s="12">
        <v>4.6500000000000004</v>
      </c>
      <c r="HQ34" s="12">
        <v>4.08</v>
      </c>
      <c r="HR34" s="12">
        <v>3.69</v>
      </c>
      <c r="HS34" s="12">
        <v>2.83</v>
      </c>
      <c r="HT34" s="12">
        <v>4.9000000000000004</v>
      </c>
      <c r="HU34" s="12">
        <v>4.96</v>
      </c>
      <c r="HV34" s="12">
        <v>6.28</v>
      </c>
      <c r="HW34" s="12">
        <v>7.03</v>
      </c>
      <c r="HX34" s="12">
        <v>6.3</v>
      </c>
      <c r="HY34" s="12">
        <v>7.98</v>
      </c>
      <c r="HZ34" s="12">
        <v>6.48</v>
      </c>
      <c r="IA34" s="12">
        <v>6.54</v>
      </c>
      <c r="IB34" s="12">
        <v>6.59</v>
      </c>
      <c r="IC34" s="12">
        <v>5.83</v>
      </c>
      <c r="ID34" s="12">
        <v>5.96</v>
      </c>
      <c r="IE34" s="12">
        <v>5.25</v>
      </c>
      <c r="IF34" s="12">
        <v>6.94</v>
      </c>
      <c r="IG34" s="12">
        <v>7.92</v>
      </c>
      <c r="IH34" s="12">
        <v>9.0399999999999991</v>
      </c>
      <c r="II34" s="12">
        <v>10.01</v>
      </c>
      <c r="IJ34" s="12">
        <v>10.95</v>
      </c>
      <c r="IK34" s="12">
        <v>10.94</v>
      </c>
      <c r="IL34" s="12">
        <v>8.6349999999999998</v>
      </c>
      <c r="IM34" s="12">
        <v>8.64</v>
      </c>
      <c r="IN34" s="12">
        <v>5.48</v>
      </c>
      <c r="IO34" s="12">
        <v>5.99</v>
      </c>
      <c r="IP34" s="12">
        <v>6.07</v>
      </c>
      <c r="IQ34" s="12">
        <v>5.21</v>
      </c>
      <c r="IR34" s="12">
        <v>5.72</v>
      </c>
      <c r="IS34" s="12">
        <v>6.78</v>
      </c>
      <c r="IT34" s="12">
        <v>8.52</v>
      </c>
      <c r="IU34" s="12">
        <v>9.26</v>
      </c>
      <c r="IV34" s="12">
        <v>9.3699999999999992</v>
      </c>
      <c r="IW34" s="18">
        <v>11.02</v>
      </c>
      <c r="IX34" s="18">
        <v>10.95</v>
      </c>
      <c r="IY34" s="18">
        <v>9.77</v>
      </c>
      <c r="IZ34" s="19">
        <v>8.66</v>
      </c>
      <c r="JA34" s="20">
        <v>7.02</v>
      </c>
      <c r="JB34" s="20">
        <v>6.25</v>
      </c>
      <c r="JC34" s="20">
        <v>6.3</v>
      </c>
      <c r="JD34" s="20">
        <v>6.7</v>
      </c>
      <c r="JE34" s="20">
        <v>7.5</v>
      </c>
      <c r="JF34" s="21">
        <v>8.89</v>
      </c>
      <c r="JG34" s="22">
        <v>10.050000000000001</v>
      </c>
      <c r="JH34" s="22">
        <v>10.16</v>
      </c>
      <c r="JI34" s="20">
        <v>9.67</v>
      </c>
      <c r="JJ34" s="23">
        <v>11.51</v>
      </c>
      <c r="JK34" s="24">
        <v>9.67</v>
      </c>
      <c r="JL34" s="24">
        <v>7.38</v>
      </c>
      <c r="JM34" s="17">
        <v>6.68</v>
      </c>
      <c r="JN34" s="17">
        <v>6.13</v>
      </c>
      <c r="JO34" s="17">
        <v>4.5599999999999996</v>
      </c>
      <c r="JP34" s="17">
        <v>6.22</v>
      </c>
      <c r="JQ34" s="17">
        <v>7.43</v>
      </c>
      <c r="JR34" s="17">
        <v>8.9600000000000009</v>
      </c>
      <c r="JS34" s="17">
        <v>9.61</v>
      </c>
      <c r="JT34" s="17">
        <v>10.28</v>
      </c>
      <c r="JU34" s="17">
        <v>11.12</v>
      </c>
      <c r="JV34" s="18">
        <v>6.44</v>
      </c>
      <c r="JW34" s="18">
        <v>11.26</v>
      </c>
      <c r="JX34" s="18">
        <v>9.98</v>
      </c>
      <c r="JY34" s="18">
        <v>7.12</v>
      </c>
      <c r="JZ34" s="18">
        <v>6.29</v>
      </c>
      <c r="KA34" s="18">
        <v>5.07</v>
      </c>
      <c r="KB34" s="18">
        <v>5.9</v>
      </c>
      <c r="KC34" s="18">
        <v>6.67</v>
      </c>
      <c r="KD34" s="18">
        <v>8.3699999999999992</v>
      </c>
      <c r="KE34" s="18">
        <v>10.07</v>
      </c>
      <c r="KF34" s="18">
        <v>11.77</v>
      </c>
      <c r="KG34" s="26">
        <v>11.2</v>
      </c>
      <c r="KH34" s="26">
        <v>11.8</v>
      </c>
      <c r="KI34" s="26">
        <v>9.75</v>
      </c>
      <c r="KJ34" s="26">
        <v>6.9</v>
      </c>
      <c r="KK34" s="26">
        <v>5.15</v>
      </c>
      <c r="KL34" s="18">
        <v>4.03</v>
      </c>
      <c r="KM34" s="26">
        <v>3.39</v>
      </c>
      <c r="KN34" s="18">
        <v>5.27</v>
      </c>
      <c r="KO34" s="18">
        <v>5.87</v>
      </c>
      <c r="KP34" s="18">
        <v>7.11</v>
      </c>
      <c r="KQ34" s="18">
        <v>7.67</v>
      </c>
      <c r="KR34" s="18">
        <v>7.8599999999999994</v>
      </c>
      <c r="KS34" s="18">
        <v>7.6400000000000006</v>
      </c>
      <c r="KT34" s="18">
        <v>7.7099999999999991</v>
      </c>
      <c r="KU34" s="26">
        <v>7.4</v>
      </c>
      <c r="KV34" s="18">
        <v>7.1</v>
      </c>
      <c r="KW34" s="17">
        <v>5.85</v>
      </c>
      <c r="KX34" s="17">
        <v>5.54</v>
      </c>
      <c r="KY34" s="18">
        <v>4.97</v>
      </c>
      <c r="KZ34" s="17">
        <v>5.64</v>
      </c>
      <c r="LA34" s="17">
        <v>5.8</v>
      </c>
      <c r="LB34" s="17">
        <v>5.77</v>
      </c>
      <c r="LC34" s="17">
        <v>6.91</v>
      </c>
      <c r="LD34" s="17">
        <v>7.35</v>
      </c>
      <c r="LE34" s="17">
        <v>8.42</v>
      </c>
      <c r="LF34" s="17">
        <v>9.6</v>
      </c>
      <c r="LG34" s="8">
        <v>8.75</v>
      </c>
      <c r="LH34" s="18">
        <v>5.9</v>
      </c>
      <c r="LI34" s="18">
        <v>5.07</v>
      </c>
      <c r="LJ34" s="18">
        <v>4.3100000000000005</v>
      </c>
      <c r="LK34" s="18">
        <v>4.92</v>
      </c>
      <c r="LL34" s="18">
        <v>5.9600000000000009</v>
      </c>
      <c r="LM34" s="18">
        <v>6.8599999999999994</v>
      </c>
      <c r="LN34" s="18">
        <v>6.76</v>
      </c>
      <c r="LO34" s="18">
        <v>7.76</v>
      </c>
      <c r="LP34" s="18">
        <v>8.3000000000000007</v>
      </c>
      <c r="LQ34" s="18">
        <v>8.56</v>
      </c>
      <c r="LR34" s="18">
        <v>9.49</v>
      </c>
      <c r="LS34" s="18">
        <v>5.5600000000000005</v>
      </c>
      <c r="LT34" s="18">
        <v>6.0299999999999994</v>
      </c>
      <c r="LU34" s="18">
        <v>3.65</v>
      </c>
      <c r="LV34" s="17">
        <v>5.7799999999999994</v>
      </c>
      <c r="LW34" s="17">
        <v>4.0999999999999996</v>
      </c>
      <c r="LX34" s="17">
        <v>6.13</v>
      </c>
      <c r="LY34" s="17">
        <v>7.5399999999999991</v>
      </c>
      <c r="LZ34" s="17">
        <v>7.75</v>
      </c>
      <c r="MA34" s="17">
        <v>9.16</v>
      </c>
      <c r="MB34" s="17">
        <v>9.42</v>
      </c>
      <c r="MC34" s="17">
        <v>10.66</v>
      </c>
      <c r="MD34" s="17">
        <v>10.45</v>
      </c>
      <c r="ME34" s="17">
        <v>9.629999999999999</v>
      </c>
      <c r="MF34" s="17">
        <v>6.47</v>
      </c>
      <c r="MG34" s="17">
        <v>5.96</v>
      </c>
      <c r="MH34" s="17">
        <v>4.9499999999999993</v>
      </c>
      <c r="MI34" s="17">
        <v>4.46</v>
      </c>
      <c r="MJ34" s="17">
        <v>6.6899999999999995</v>
      </c>
      <c r="MK34" s="17">
        <v>7.12</v>
      </c>
      <c r="ML34" s="17">
        <v>6.67</v>
      </c>
      <c r="MM34" s="27">
        <v>9.3000000000000007</v>
      </c>
      <c r="MN34" s="27">
        <f>VLOOKUP(B34,[1]Sheet1!$A:$N,7,0)</f>
        <v>10.029999999999999</v>
      </c>
      <c r="MO34" s="27">
        <f>VLOOKUP(B34,[1]Sheet1!$A:$N,8,0)</f>
        <v>6.47</v>
      </c>
      <c r="MP34" s="27">
        <f>VLOOKUP(B34,[1]Sheet1!$A:$N,9,0)</f>
        <v>8.6300000000000008</v>
      </c>
      <c r="MQ34" s="27">
        <f>VLOOKUP(B34,[1]Sheet1!$A:$N,10,0)</f>
        <v>6.91</v>
      </c>
      <c r="MR34" s="27">
        <f>VLOOKUP(B34,[1]Sheet1!$A:$N,11,0)</f>
        <v>5.96</v>
      </c>
      <c r="MS34" s="27">
        <f>VLOOKUP(B34,[1]Sheet1!$A:$N,12,0)</f>
        <v>4.22</v>
      </c>
      <c r="MT34" s="27">
        <f>VLOOKUP(B34,[1]Sheet1!$A:$N,13,0)</f>
        <v>4.08</v>
      </c>
      <c r="MU34" s="27">
        <f>VLOOKUP(B34,[1]Sheet1!$A:$N,14,0)</f>
        <v>5.26</v>
      </c>
    </row>
    <row r="35" spans="1:359" s="27" customFormat="1" ht="18.75" customHeight="1" x14ac:dyDescent="0.25">
      <c r="A35" s="8" t="s">
        <v>0</v>
      </c>
      <c r="B35" s="8">
        <v>20203</v>
      </c>
      <c r="C35" s="9" t="s">
        <v>20</v>
      </c>
      <c r="D35" s="10" t="s">
        <v>44</v>
      </c>
      <c r="E35" s="10" t="s">
        <v>44</v>
      </c>
      <c r="F35" s="10"/>
      <c r="G35" s="10"/>
      <c r="H35" s="41"/>
      <c r="I35" s="10"/>
      <c r="J35" s="10"/>
      <c r="K35" s="10">
        <v>16.513570000000001</v>
      </c>
      <c r="L35" s="10">
        <v>80.887151000000003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27">
        <v>6.45</v>
      </c>
      <c r="MN35" s="27">
        <f>VLOOKUP(B35,[1]Sheet1!$A:$N,7,0)</f>
        <v>6.98</v>
      </c>
      <c r="MO35" s="27">
        <f>VLOOKUP(B35,[1]Sheet1!$A:$N,8,0)</f>
        <v>6.5</v>
      </c>
      <c r="MP35" s="27">
        <f>VLOOKUP(B35,[1]Sheet1!$A:$N,9,0)</f>
        <v>6.67</v>
      </c>
      <c r="MQ35" s="27">
        <f>VLOOKUP(B35,[1]Sheet1!$A:$N,10,0)</f>
        <v>6.91</v>
      </c>
      <c r="MR35" s="27">
        <f>VLOOKUP(B35,[1]Sheet1!$A:$N,11,0)</f>
        <v>5.52</v>
      </c>
      <c r="MS35" s="27">
        <f>VLOOKUP(B35,[1]Sheet1!$A:$N,12,0)</f>
        <v>6.36</v>
      </c>
      <c r="MT35" s="27">
        <f>VLOOKUP(B35,[1]Sheet1!$A:$N,13,0)</f>
        <v>6.22</v>
      </c>
      <c r="MU35" s="27">
        <f>VLOOKUP(B35,[1]Sheet1!$A:$N,14,0)</f>
        <v>6.29</v>
      </c>
    </row>
    <row r="36" spans="1:359" s="27" customFormat="1" ht="18.75" customHeight="1" x14ac:dyDescent="0.25">
      <c r="A36" s="8" t="s">
        <v>6</v>
      </c>
      <c r="B36" s="8">
        <v>20203</v>
      </c>
      <c r="C36" s="39" t="s">
        <v>20</v>
      </c>
      <c r="D36" s="39" t="s">
        <v>44</v>
      </c>
      <c r="E36" s="39" t="s">
        <v>44</v>
      </c>
      <c r="F36" s="39" t="s">
        <v>46</v>
      </c>
      <c r="G36" s="39" t="s">
        <v>5</v>
      </c>
      <c r="H36" s="41">
        <v>26</v>
      </c>
      <c r="I36" s="39" t="s">
        <v>7</v>
      </c>
      <c r="J36" s="10"/>
      <c r="K36" s="10"/>
      <c r="L36" s="10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>
        <v>3.35</v>
      </c>
      <c r="HE36" s="1">
        <v>2.4500000000000002</v>
      </c>
      <c r="HF36" s="1">
        <v>2.2450000000000001</v>
      </c>
      <c r="HG36" s="1">
        <v>2.04</v>
      </c>
      <c r="HH36" s="1">
        <v>2.04</v>
      </c>
      <c r="HI36" s="1">
        <v>2.62</v>
      </c>
      <c r="HJ36" s="1">
        <v>2.71</v>
      </c>
      <c r="HK36" s="1">
        <v>2.8</v>
      </c>
      <c r="HL36" s="1">
        <v>3.0350000000000001</v>
      </c>
      <c r="HM36" s="1">
        <v>3.27</v>
      </c>
      <c r="HN36" s="1">
        <v>3.54</v>
      </c>
      <c r="HO36" s="1">
        <v>4.13</v>
      </c>
      <c r="HP36" s="1">
        <v>4.32</v>
      </c>
      <c r="HQ36" s="1">
        <v>3.58</v>
      </c>
      <c r="HR36" s="1">
        <v>4.97</v>
      </c>
      <c r="HS36" s="31">
        <v>1.53</v>
      </c>
      <c r="HT36" s="1">
        <v>2.83</v>
      </c>
      <c r="HU36" s="1">
        <v>2.92</v>
      </c>
      <c r="HV36" s="1">
        <v>3.33</v>
      </c>
      <c r="HW36" s="1">
        <v>3.65</v>
      </c>
      <c r="HX36" s="1">
        <v>3.95</v>
      </c>
      <c r="HY36" s="1">
        <v>4.21</v>
      </c>
      <c r="HZ36" s="1">
        <v>4.25</v>
      </c>
      <c r="IA36" s="1">
        <v>4.32</v>
      </c>
      <c r="IB36" s="1">
        <v>5.23</v>
      </c>
      <c r="IC36" s="1">
        <v>4.97</v>
      </c>
      <c r="ID36" s="1">
        <v>5.19</v>
      </c>
      <c r="IE36" s="1">
        <v>5.68</v>
      </c>
      <c r="IF36" s="1">
        <v>5.46</v>
      </c>
      <c r="IG36" s="1">
        <v>5.43</v>
      </c>
      <c r="IH36" s="1">
        <v>6.2469999999999999</v>
      </c>
      <c r="II36" s="1">
        <v>5.78</v>
      </c>
      <c r="IJ36" s="1">
        <v>5.9210000000000003</v>
      </c>
      <c r="IK36" s="1">
        <v>5.98</v>
      </c>
      <c r="IL36" s="1">
        <v>5.9139999999999997</v>
      </c>
      <c r="IM36" s="1">
        <v>6.0819999999999999</v>
      </c>
      <c r="IN36" s="1">
        <v>6.12</v>
      </c>
      <c r="IO36" s="1">
        <v>5.92</v>
      </c>
      <c r="IP36" s="1">
        <v>5.8</v>
      </c>
      <c r="IQ36" s="1">
        <v>5.7060000000000004</v>
      </c>
      <c r="IR36" s="1">
        <v>5.774</v>
      </c>
      <c r="IS36" s="1">
        <v>5.8049999999999997</v>
      </c>
      <c r="IT36" s="1">
        <v>5.8680000000000003</v>
      </c>
      <c r="IU36" s="1">
        <v>5.9880000000000004</v>
      </c>
      <c r="IV36" s="1">
        <v>6.077</v>
      </c>
      <c r="IW36" s="1">
        <v>6.19</v>
      </c>
      <c r="IX36" s="1">
        <v>6.218</v>
      </c>
      <c r="IY36" s="1">
        <v>6.2779999999999996</v>
      </c>
      <c r="IZ36" s="1">
        <v>6.2229999999999999</v>
      </c>
      <c r="JA36" s="1">
        <v>6.1550000000000002</v>
      </c>
      <c r="JB36" s="1">
        <v>5.91</v>
      </c>
      <c r="JC36" s="1">
        <v>5.9</v>
      </c>
      <c r="JD36" s="1">
        <v>6.1479999999999997</v>
      </c>
      <c r="JE36" s="1">
        <v>6.1660000000000004</v>
      </c>
      <c r="JF36" s="1">
        <v>8.16</v>
      </c>
      <c r="JG36" s="1">
        <v>6.35</v>
      </c>
      <c r="JH36" s="1">
        <v>6.407</v>
      </c>
      <c r="JI36" s="1">
        <v>6.48</v>
      </c>
      <c r="JJ36" s="1">
        <v>6.5579999999999998</v>
      </c>
      <c r="JK36" s="1">
        <v>6.53</v>
      </c>
      <c r="JL36" s="1">
        <v>6.2709999999999999</v>
      </c>
      <c r="JM36" s="1">
        <v>6.1550000000000002</v>
      </c>
      <c r="JN36" s="1">
        <v>6.3680000000000003</v>
      </c>
      <c r="JO36" s="1">
        <v>6.35</v>
      </c>
      <c r="JP36" s="1">
        <v>6.5350000000000001</v>
      </c>
      <c r="JQ36" s="1">
        <v>6.6070000000000002</v>
      </c>
      <c r="JR36" s="1">
        <v>6.32</v>
      </c>
      <c r="JS36" s="1">
        <v>6.46</v>
      </c>
      <c r="JT36" s="1">
        <v>6.5949999999999998</v>
      </c>
      <c r="JU36" s="1">
        <v>6.7480000000000002</v>
      </c>
      <c r="JV36" s="1">
        <v>7.0049999999999999</v>
      </c>
      <c r="JW36" s="1">
        <v>7.11</v>
      </c>
      <c r="JX36" s="1">
        <v>4.08</v>
      </c>
      <c r="JY36" s="1">
        <v>4.2</v>
      </c>
      <c r="JZ36" s="1">
        <v>3.96</v>
      </c>
      <c r="KA36" s="1">
        <v>6.56</v>
      </c>
      <c r="KB36" s="1">
        <v>7.04</v>
      </c>
      <c r="KC36" s="1">
        <v>6.53</v>
      </c>
      <c r="KD36" s="1">
        <v>6.47</v>
      </c>
      <c r="KE36" s="1">
        <v>6.16</v>
      </c>
      <c r="KF36" s="1"/>
      <c r="KG36" s="1">
        <v>7.22</v>
      </c>
      <c r="KH36" s="1">
        <v>6.9</v>
      </c>
      <c r="KI36" s="1">
        <v>5.72</v>
      </c>
      <c r="KJ36" s="1">
        <v>7.02</v>
      </c>
      <c r="KK36" s="1">
        <v>6.13</v>
      </c>
      <c r="KL36" s="1">
        <v>14</v>
      </c>
      <c r="KM36" s="1">
        <v>6.38</v>
      </c>
      <c r="KN36" s="1">
        <v>6.49</v>
      </c>
      <c r="KO36" s="1">
        <v>6.18</v>
      </c>
      <c r="KP36" s="1">
        <v>6.53</v>
      </c>
      <c r="KQ36" s="1">
        <v>6.63</v>
      </c>
      <c r="KR36" s="1">
        <v>6.58</v>
      </c>
      <c r="KS36" s="1">
        <v>6.58</v>
      </c>
      <c r="KT36" s="1">
        <v>6.17</v>
      </c>
      <c r="KU36" s="1">
        <v>5.98</v>
      </c>
      <c r="KV36" s="1">
        <v>5.51</v>
      </c>
      <c r="KW36" s="1">
        <v>5.07</v>
      </c>
      <c r="KX36" s="1">
        <v>4.5599999999999996</v>
      </c>
      <c r="KY36" s="1">
        <v>6.27</v>
      </c>
      <c r="KZ36" s="1">
        <v>6.49</v>
      </c>
      <c r="LA36" s="1">
        <v>7.14</v>
      </c>
      <c r="LB36" s="1">
        <v>7.67</v>
      </c>
      <c r="LC36" s="1">
        <v>8.4499999999999993</v>
      </c>
      <c r="LD36" s="1">
        <v>7.08</v>
      </c>
      <c r="LE36" s="1">
        <v>6.43</v>
      </c>
      <c r="LF36" s="1">
        <v>6.43</v>
      </c>
      <c r="LG36" s="1">
        <v>5.63</v>
      </c>
      <c r="LH36" s="1">
        <v>6.42</v>
      </c>
      <c r="LI36" s="1">
        <v>6.42</v>
      </c>
      <c r="LJ36" s="1">
        <v>6.07</v>
      </c>
      <c r="LK36" s="1">
        <v>6.17</v>
      </c>
      <c r="LL36" s="1">
        <v>6.2</v>
      </c>
      <c r="LM36" s="1">
        <v>6.17</v>
      </c>
      <c r="LN36" s="1">
        <v>6.4</v>
      </c>
      <c r="LO36" s="1">
        <v>6.29</v>
      </c>
      <c r="LP36" s="1">
        <v>6.24</v>
      </c>
      <c r="LQ36" s="1">
        <v>6.17</v>
      </c>
      <c r="LR36" s="1">
        <v>6.45</v>
      </c>
      <c r="LS36" s="1">
        <v>6.28</v>
      </c>
      <c r="LT36" s="1">
        <v>6.3</v>
      </c>
      <c r="LU36" s="1">
        <v>5.93</v>
      </c>
      <c r="LV36" s="1">
        <v>6.1</v>
      </c>
      <c r="LW36" s="1">
        <v>6.07</v>
      </c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27">
        <v>6.45</v>
      </c>
      <c r="MN36" s="27">
        <f>VLOOKUP(B36,[1]Sheet1!$A:$N,7,0)</f>
        <v>6.98</v>
      </c>
      <c r="MO36" s="27">
        <f>VLOOKUP(B36,[1]Sheet1!$A:$N,8,0)</f>
        <v>6.5</v>
      </c>
      <c r="MP36" s="27">
        <f>VLOOKUP(B36,[1]Sheet1!$A:$N,9,0)</f>
        <v>6.67</v>
      </c>
      <c r="MQ36" s="27">
        <f>VLOOKUP(B36,[1]Sheet1!$A:$N,10,0)</f>
        <v>6.91</v>
      </c>
      <c r="MR36" s="27">
        <f>VLOOKUP(B36,[1]Sheet1!$A:$N,11,0)</f>
        <v>5.52</v>
      </c>
      <c r="MS36" s="27">
        <f>VLOOKUP(B36,[1]Sheet1!$A:$N,12,0)</f>
        <v>6.36</v>
      </c>
      <c r="MT36" s="27">
        <f>VLOOKUP(B36,[1]Sheet1!$A:$N,13,0)</f>
        <v>6.22</v>
      </c>
      <c r="MU36" s="27">
        <f>VLOOKUP(B36,[1]Sheet1!$A:$N,14,0)</f>
        <v>6.29</v>
      </c>
    </row>
    <row r="37" spans="1:359" s="27" customFormat="1" ht="18.75" customHeight="1" x14ac:dyDescent="0.25">
      <c r="A37" s="8" t="s">
        <v>0</v>
      </c>
      <c r="B37" s="8">
        <v>30147</v>
      </c>
      <c r="C37" s="9" t="s">
        <v>20</v>
      </c>
      <c r="D37" s="10" t="s">
        <v>70</v>
      </c>
      <c r="E37" s="10" t="s">
        <v>77</v>
      </c>
      <c r="F37" s="28" t="s">
        <v>4</v>
      </c>
      <c r="G37" s="39" t="s">
        <v>9</v>
      </c>
      <c r="H37" s="41">
        <v>43</v>
      </c>
      <c r="I37" s="33" t="s">
        <v>2</v>
      </c>
      <c r="J37" s="28">
        <v>4</v>
      </c>
      <c r="K37" s="34">
        <v>15.891237</v>
      </c>
      <c r="L37" s="34">
        <v>80.946624999999997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26">
        <v>8.1999999999999993</v>
      </c>
      <c r="KL37" s="8">
        <v>10.039999999999999</v>
      </c>
      <c r="KM37" s="26">
        <v>10.199999999999999</v>
      </c>
      <c r="KN37" s="18">
        <v>10.33</v>
      </c>
      <c r="KO37" s="18">
        <v>10</v>
      </c>
      <c r="KP37" s="18">
        <v>9.91</v>
      </c>
      <c r="KQ37" s="8">
        <v>9.9699999999999989</v>
      </c>
      <c r="KR37" s="8">
        <v>9.94</v>
      </c>
      <c r="KS37" s="18">
        <v>9.94</v>
      </c>
      <c r="KT37" s="8">
        <v>9.9499999999999993</v>
      </c>
      <c r="KU37" s="26">
        <v>10.049999999999999</v>
      </c>
      <c r="KV37" s="8">
        <v>10.1</v>
      </c>
      <c r="KW37" s="35">
        <v>9.9</v>
      </c>
      <c r="KX37" s="17">
        <v>9.4599999999999991</v>
      </c>
      <c r="KY37" s="8">
        <v>9.2199999999999989</v>
      </c>
      <c r="KZ37" s="17">
        <v>9.48</v>
      </c>
      <c r="LA37" s="17">
        <v>9.24</v>
      </c>
      <c r="LB37" s="17">
        <v>9.3899999999999988</v>
      </c>
      <c r="LC37" s="17">
        <v>9.2199999999999989</v>
      </c>
      <c r="LD37" s="17">
        <v>10.96</v>
      </c>
      <c r="LE37" s="17">
        <v>10.25</v>
      </c>
      <c r="LF37" s="17">
        <v>10.35</v>
      </c>
      <c r="LG37" s="18">
        <v>9.4499999999999993</v>
      </c>
      <c r="LH37" s="18">
        <v>9.76</v>
      </c>
      <c r="LI37" s="18">
        <v>9.8800000000000008</v>
      </c>
      <c r="LJ37" s="18">
        <v>8.2800000000000011</v>
      </c>
      <c r="LK37" s="18">
        <v>9.81</v>
      </c>
      <c r="LL37" s="18">
        <v>9.9</v>
      </c>
      <c r="LM37" s="18">
        <v>8.5</v>
      </c>
      <c r="LN37" s="18">
        <v>9.9600000000000009</v>
      </c>
      <c r="LO37" s="18">
        <v>9.94</v>
      </c>
      <c r="LP37" s="18">
        <v>10</v>
      </c>
      <c r="LQ37" s="18">
        <v>9.98</v>
      </c>
      <c r="LR37" s="18">
        <v>10.280000000000001</v>
      </c>
      <c r="LS37" s="18">
        <v>10.25</v>
      </c>
      <c r="LT37" s="18">
        <v>10.06</v>
      </c>
      <c r="LU37" s="18">
        <v>10.200000000000001</v>
      </c>
      <c r="LV37" s="17">
        <v>10.26</v>
      </c>
      <c r="LW37" s="17">
        <v>10.52</v>
      </c>
      <c r="LX37" s="17">
        <v>10.530000000000001</v>
      </c>
      <c r="LY37" s="17">
        <v>10.76</v>
      </c>
      <c r="LZ37" s="17">
        <v>10.220000000000001</v>
      </c>
      <c r="MA37" s="17">
        <v>10.67</v>
      </c>
      <c r="MB37" s="17">
        <v>10.6</v>
      </c>
      <c r="MC37" s="17">
        <v>10.620000000000001</v>
      </c>
      <c r="MD37" s="17">
        <v>9.5</v>
      </c>
      <c r="ME37" s="17">
        <v>10.74</v>
      </c>
      <c r="MF37" s="17">
        <v>10.66</v>
      </c>
      <c r="MG37" s="17">
        <v>10.52</v>
      </c>
      <c r="MH37" s="17">
        <v>10.75</v>
      </c>
      <c r="MI37" s="17">
        <v>10.74</v>
      </c>
      <c r="MJ37" s="17">
        <v>10.82</v>
      </c>
      <c r="MK37" s="17">
        <v>10.74</v>
      </c>
      <c r="ML37" s="17">
        <v>10.8</v>
      </c>
      <c r="MM37" s="27">
        <v>10.87</v>
      </c>
      <c r="MN37" s="27">
        <f>VLOOKUP(B37,[1]Sheet1!$A:$N,7,0)</f>
        <v>10.92</v>
      </c>
      <c r="MO37" s="27">
        <f>VLOOKUP(B37,[1]Sheet1!$A:$N,8,0)</f>
        <v>10.66</v>
      </c>
      <c r="MP37" s="27">
        <f>VLOOKUP(B37,[1]Sheet1!$A:$N,9,0)</f>
        <v>10.17</v>
      </c>
      <c r="MQ37" s="27">
        <f>VLOOKUP(B37,[1]Sheet1!$A:$N,10,0)</f>
        <v>10.76</v>
      </c>
      <c r="MR37" s="27">
        <f>VLOOKUP(B37,[1]Sheet1!$A:$N,11,0)</f>
        <v>9.08</v>
      </c>
      <c r="MS37" s="27">
        <f>VLOOKUP(B37,[1]Sheet1!$A:$N,12,0)</f>
        <v>10.7</v>
      </c>
      <c r="MT37" s="27">
        <f>VLOOKUP(B37,[1]Sheet1!$A:$N,13,0)</f>
        <v>9.77</v>
      </c>
      <c r="MU37" s="27">
        <f>VLOOKUP(B37,[1]Sheet1!$A:$N,14,0)</f>
        <v>10.88</v>
      </c>
    </row>
    <row r="38" spans="1:359" s="27" customFormat="1" ht="18.75" customHeight="1" x14ac:dyDescent="0.25">
      <c r="A38" s="8" t="s">
        <v>0</v>
      </c>
      <c r="B38" s="8">
        <v>30148</v>
      </c>
      <c r="C38" s="9" t="s">
        <v>20</v>
      </c>
      <c r="D38" s="10" t="s">
        <v>52</v>
      </c>
      <c r="E38" s="10" t="s">
        <v>78</v>
      </c>
      <c r="F38" s="28" t="s">
        <v>79</v>
      </c>
      <c r="G38" s="39" t="s">
        <v>9</v>
      </c>
      <c r="H38" s="41">
        <v>125</v>
      </c>
      <c r="I38" s="18" t="s">
        <v>55</v>
      </c>
      <c r="J38" s="14">
        <v>44</v>
      </c>
      <c r="K38" s="34">
        <v>16.732005000000001</v>
      </c>
      <c r="L38" s="34">
        <v>80.989794000000003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26">
        <v>49.2</v>
      </c>
      <c r="KL38" s="8">
        <v>62.6</v>
      </c>
      <c r="KM38" s="26">
        <v>49.4</v>
      </c>
      <c r="KN38" s="18">
        <v>61.03</v>
      </c>
      <c r="KO38" s="18">
        <v>60.5</v>
      </c>
      <c r="KP38" s="18">
        <v>60.88</v>
      </c>
      <c r="KQ38" s="8">
        <v>60.1</v>
      </c>
      <c r="KR38" s="8">
        <v>59.870000000000005</v>
      </c>
      <c r="KS38" s="18">
        <v>59.5</v>
      </c>
      <c r="KT38" s="8">
        <v>59.370000000000005</v>
      </c>
      <c r="KU38" s="26">
        <v>59.22</v>
      </c>
      <c r="KV38" s="8">
        <v>58.919999999999995</v>
      </c>
      <c r="KW38" s="35">
        <v>58.65</v>
      </c>
      <c r="KX38" s="17">
        <v>58.239999999999995</v>
      </c>
      <c r="KY38" s="8">
        <v>58.169999999999995</v>
      </c>
      <c r="KZ38" s="17">
        <v>58.25</v>
      </c>
      <c r="LA38" s="17">
        <v>58.019999999999996</v>
      </c>
      <c r="LB38" s="17">
        <v>58.19</v>
      </c>
      <c r="LC38" s="17">
        <v>58.79</v>
      </c>
      <c r="LD38" s="17">
        <v>57.249999999999993</v>
      </c>
      <c r="LE38" s="17">
        <v>56.269999999999996</v>
      </c>
      <c r="LF38" s="17">
        <v>55.15</v>
      </c>
      <c r="LG38" s="18">
        <v>54.2</v>
      </c>
      <c r="LH38" s="18">
        <v>56.25</v>
      </c>
      <c r="LI38" s="18">
        <v>54.129999999999995</v>
      </c>
      <c r="LJ38" s="18">
        <v>55.62</v>
      </c>
      <c r="LK38" s="18">
        <v>55.76</v>
      </c>
      <c r="LL38" s="18">
        <v>55.949999999999996</v>
      </c>
      <c r="LM38" s="18">
        <v>54.599999999999994</v>
      </c>
      <c r="LN38" s="18">
        <v>54.3</v>
      </c>
      <c r="LO38" s="18">
        <v>54.25</v>
      </c>
      <c r="LP38" s="18">
        <v>53.949999999999996</v>
      </c>
      <c r="LQ38" s="18">
        <v>54.05</v>
      </c>
      <c r="LR38" s="18">
        <v>53.8</v>
      </c>
      <c r="LS38" s="18">
        <v>53.9</v>
      </c>
      <c r="LT38" s="18">
        <v>53.75</v>
      </c>
      <c r="LU38" s="18">
        <v>53.75</v>
      </c>
      <c r="LV38" s="17">
        <v>53.459999999999994</v>
      </c>
      <c r="LW38" s="17">
        <v>53.25</v>
      </c>
      <c r="LX38" s="17">
        <v>52.81</v>
      </c>
      <c r="LY38" s="17">
        <v>52.99</v>
      </c>
      <c r="LZ38" s="17">
        <v>52.9</v>
      </c>
      <c r="MA38" s="17">
        <v>52.86</v>
      </c>
      <c r="MB38" s="17">
        <v>53.02</v>
      </c>
      <c r="MC38" s="17">
        <v>52.9</v>
      </c>
      <c r="MD38" s="17">
        <v>52.910000000000004</v>
      </c>
      <c r="ME38" s="17">
        <v>52.92</v>
      </c>
      <c r="MF38" s="17">
        <v>52.9</v>
      </c>
      <c r="MG38" s="17">
        <v>52.870000000000005</v>
      </c>
      <c r="MH38" s="17">
        <v>52.78</v>
      </c>
      <c r="MI38" s="17">
        <v>52.92</v>
      </c>
      <c r="MJ38" s="17">
        <v>52.88</v>
      </c>
      <c r="MK38" s="17">
        <v>52.5</v>
      </c>
      <c r="ML38" s="17">
        <v>52.480000000000004</v>
      </c>
      <c r="MM38" s="27">
        <v>52.57</v>
      </c>
      <c r="MN38" s="27">
        <f>VLOOKUP(B38,[1]Sheet1!$A:$N,7,0)</f>
        <v>52.93</v>
      </c>
      <c r="MO38" s="27">
        <f>VLOOKUP(B38,[1]Sheet1!$A:$N,8,0)</f>
        <v>52.9</v>
      </c>
      <c r="MP38" s="27">
        <f>VLOOKUP(B38,[1]Sheet1!$A:$N,9,0)</f>
        <v>52.36</v>
      </c>
      <c r="MQ38" s="27">
        <f>VLOOKUP(B38,[1]Sheet1!$A:$N,10,0)</f>
        <v>52.67</v>
      </c>
      <c r="MR38" s="27">
        <f>VLOOKUP(B38,[1]Sheet1!$A:$N,11,0)</f>
        <v>52.42</v>
      </c>
      <c r="MS38" s="27">
        <f>VLOOKUP(B38,[1]Sheet1!$A:$N,12,0)</f>
        <v>52.46</v>
      </c>
      <c r="MT38" s="27">
        <f>VLOOKUP(B38,[1]Sheet1!$A:$N,13,0)</f>
        <v>52.5</v>
      </c>
      <c r="MU38" s="27">
        <f>VLOOKUP(B38,[1]Sheet1!$A:$N,14,0)</f>
        <v>52.52</v>
      </c>
    </row>
    <row r="39" spans="1:359" s="27" customFormat="1" ht="18.75" customHeight="1" x14ac:dyDescent="0.25">
      <c r="A39" s="8" t="s">
        <v>0</v>
      </c>
      <c r="B39" s="8">
        <v>30156</v>
      </c>
      <c r="C39" s="9" t="s">
        <v>20</v>
      </c>
      <c r="D39" s="10" t="s">
        <v>58</v>
      </c>
      <c r="E39" s="10" t="s">
        <v>80</v>
      </c>
      <c r="F39" s="10"/>
      <c r="G39" s="10"/>
      <c r="H39" s="41"/>
      <c r="I39" s="10"/>
      <c r="J39" s="10"/>
      <c r="K39" s="10">
        <v>16.556045999999998</v>
      </c>
      <c r="L39" s="10">
        <v>80.734080000000006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27">
        <v>8</v>
      </c>
      <c r="MN39" s="27">
        <f>VLOOKUP(B39,[1]Sheet1!$A:$N,7,0)</f>
        <v>8.94</v>
      </c>
      <c r="MO39" s="27">
        <f>VLOOKUP(B39,[1]Sheet1!$A:$N,8,0)</f>
        <v>4.8899999999999997</v>
      </c>
      <c r="MP39" s="27">
        <f>VLOOKUP(B39,[1]Sheet1!$A:$N,9,0)</f>
        <v>9.3000000000000007</v>
      </c>
      <c r="MQ39" s="27">
        <f>VLOOKUP(B39,[1]Sheet1!$A:$N,10,0)</f>
        <v>8.7700000000000014</v>
      </c>
      <c r="MR39" s="27">
        <f>VLOOKUP(B39,[1]Sheet1!$A:$N,11,0)</f>
        <v>5.8999999999999995</v>
      </c>
      <c r="MS39" s="27">
        <f>VLOOKUP(B39,[1]Sheet1!$A:$N,12,0)</f>
        <v>2.79</v>
      </c>
      <c r="MT39" s="27">
        <f>VLOOKUP(B39,[1]Sheet1!$A:$N,13,0)</f>
        <v>1.45</v>
      </c>
      <c r="MU39" s="27">
        <f>VLOOKUP(B39,[1]Sheet1!$A:$N,14,0)</f>
        <v>1.1700000000000002</v>
      </c>
    </row>
    <row r="40" spans="1:359" s="27" customFormat="1" ht="18.75" customHeight="1" x14ac:dyDescent="0.25">
      <c r="A40" s="18" t="s">
        <v>8</v>
      </c>
      <c r="B40" s="18">
        <v>30156</v>
      </c>
      <c r="C40" s="10" t="s">
        <v>20</v>
      </c>
      <c r="D40" s="10" t="s">
        <v>58</v>
      </c>
      <c r="E40" s="10" t="s">
        <v>80</v>
      </c>
      <c r="F40" s="28" t="s">
        <v>4</v>
      </c>
      <c r="G40" s="39" t="s">
        <v>9</v>
      </c>
      <c r="H40" s="41">
        <v>30.3</v>
      </c>
      <c r="I40" s="18" t="s">
        <v>61</v>
      </c>
      <c r="J40" s="28">
        <v>22</v>
      </c>
      <c r="K40" s="34">
        <v>16.556045999999998</v>
      </c>
      <c r="L40" s="34">
        <v>80.734080000000006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26">
        <v>3.97</v>
      </c>
      <c r="KL40" s="8">
        <v>1.2200000000000002</v>
      </c>
      <c r="KM40" s="26">
        <v>1.94</v>
      </c>
      <c r="KN40" s="18">
        <v>2.1</v>
      </c>
      <c r="KO40" s="18">
        <v>2.33</v>
      </c>
      <c r="KP40" s="18">
        <v>2.5500000000000003</v>
      </c>
      <c r="KQ40" s="8">
        <v>3.47</v>
      </c>
      <c r="KR40" s="8">
        <v>9.65</v>
      </c>
      <c r="KS40" s="18">
        <v>8.35</v>
      </c>
      <c r="KT40" s="8">
        <v>8.1399999999999988</v>
      </c>
      <c r="KU40" s="26">
        <v>7.83</v>
      </c>
      <c r="KV40" s="8">
        <v>6.23</v>
      </c>
      <c r="KW40" s="35">
        <v>7.04</v>
      </c>
      <c r="KX40" s="17">
        <v>3.19</v>
      </c>
      <c r="KY40" s="8">
        <v>1.83</v>
      </c>
      <c r="KZ40" s="17">
        <v>2.4099999999999997</v>
      </c>
      <c r="LA40" s="17">
        <v>2.09</v>
      </c>
      <c r="LB40" s="17">
        <v>2.2999999999999998</v>
      </c>
      <c r="LC40" s="17">
        <v>6.78</v>
      </c>
      <c r="LD40" s="17">
        <v>8.3500000000000014</v>
      </c>
      <c r="LE40" s="17">
        <v>7.68</v>
      </c>
      <c r="LF40" s="17">
        <v>7.9500000000000011</v>
      </c>
      <c r="LG40" s="18">
        <v>7.1</v>
      </c>
      <c r="LH40" s="18">
        <v>6.75</v>
      </c>
      <c r="LI40" s="18">
        <v>5.1300000000000008</v>
      </c>
      <c r="LJ40" s="18">
        <v>1.4</v>
      </c>
      <c r="LK40" s="18">
        <v>2.5099999999999998</v>
      </c>
      <c r="LL40" s="18">
        <v>2.15</v>
      </c>
      <c r="LM40" s="18">
        <v>4.33</v>
      </c>
      <c r="LN40" s="18">
        <v>5.32</v>
      </c>
      <c r="LO40" s="18">
        <v>9.3600000000000012</v>
      </c>
      <c r="LP40" s="18">
        <v>11.69</v>
      </c>
      <c r="LQ40" s="18">
        <v>10.15</v>
      </c>
      <c r="LR40" s="18">
        <v>11.76</v>
      </c>
      <c r="LS40" s="18">
        <v>7.9</v>
      </c>
      <c r="LT40" s="18">
        <v>5.79</v>
      </c>
      <c r="LU40" s="18">
        <v>4.04</v>
      </c>
      <c r="LV40" s="17">
        <v>3.7499999999999996</v>
      </c>
      <c r="LW40" s="17">
        <v>4.0199999999999996</v>
      </c>
      <c r="LX40" s="17">
        <v>3.55</v>
      </c>
      <c r="LY40" s="17">
        <v>4.47</v>
      </c>
      <c r="LZ40" s="17">
        <v>5.0199999999999996</v>
      </c>
      <c r="MA40" s="17">
        <v>5.68</v>
      </c>
      <c r="MB40" s="17">
        <v>6.18</v>
      </c>
      <c r="MC40" s="17">
        <v>8.370000000000001</v>
      </c>
      <c r="MD40" s="17">
        <v>7.9300000000000006</v>
      </c>
      <c r="ME40" s="17">
        <v>5.97</v>
      </c>
      <c r="MF40" s="17">
        <v>4.8899999999999997</v>
      </c>
      <c r="MG40" s="17">
        <v>1.1600000000000001</v>
      </c>
      <c r="MH40" s="17">
        <v>1.1600000000000001</v>
      </c>
      <c r="MI40" s="17">
        <v>1.5000000000000002</v>
      </c>
      <c r="MJ40" s="17">
        <v>2.7800000000000002</v>
      </c>
      <c r="MK40" s="17">
        <v>3.4699999999999998</v>
      </c>
      <c r="ML40" s="17">
        <v>3.45</v>
      </c>
      <c r="MM40" s="27">
        <v>8</v>
      </c>
      <c r="MN40" s="27">
        <f>VLOOKUP(B40,[1]Sheet1!$A:$N,7,0)</f>
        <v>8.94</v>
      </c>
      <c r="MO40" s="27">
        <f>VLOOKUP(B40,[1]Sheet1!$A:$N,8,0)</f>
        <v>4.8899999999999997</v>
      </c>
      <c r="MP40" s="27">
        <f>VLOOKUP(B40,[1]Sheet1!$A:$N,9,0)</f>
        <v>9.3000000000000007</v>
      </c>
      <c r="MQ40" s="27">
        <f>VLOOKUP(B40,[1]Sheet1!$A:$N,10,0)</f>
        <v>8.7700000000000014</v>
      </c>
      <c r="MR40" s="27">
        <f>VLOOKUP(B40,[1]Sheet1!$A:$N,11,0)</f>
        <v>5.8999999999999995</v>
      </c>
      <c r="MS40" s="27">
        <f>VLOOKUP(B40,[1]Sheet1!$A:$N,12,0)</f>
        <v>2.79</v>
      </c>
      <c r="MT40" s="27">
        <f>VLOOKUP(B40,[1]Sheet1!$A:$N,13,0)</f>
        <v>1.45</v>
      </c>
      <c r="MU40" s="27">
        <f>VLOOKUP(B40,[1]Sheet1!$A:$N,14,0)</f>
        <v>1.1700000000000002</v>
      </c>
    </row>
    <row r="41" spans="1:359" s="27" customFormat="1" ht="18.75" customHeight="1" x14ac:dyDescent="0.25">
      <c r="A41" s="8" t="s">
        <v>6</v>
      </c>
      <c r="B41" s="8">
        <v>30156</v>
      </c>
      <c r="C41" s="39" t="s">
        <v>20</v>
      </c>
      <c r="D41" s="39" t="s">
        <v>58</v>
      </c>
      <c r="E41" s="39" t="s">
        <v>80</v>
      </c>
      <c r="F41" s="39" t="s">
        <v>4</v>
      </c>
      <c r="G41" s="39" t="s">
        <v>9</v>
      </c>
      <c r="H41" s="41">
        <v>30.3</v>
      </c>
      <c r="I41" s="39" t="s">
        <v>81</v>
      </c>
      <c r="J41" s="10"/>
      <c r="K41" s="10"/>
      <c r="L41" s="10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>
        <v>54.2</v>
      </c>
      <c r="LH41" s="1">
        <v>56.25</v>
      </c>
      <c r="LI41" s="1">
        <v>54.13</v>
      </c>
      <c r="LJ41" s="1">
        <v>55.62</v>
      </c>
      <c r="LK41" s="1">
        <v>55.76</v>
      </c>
      <c r="LL41" s="1">
        <v>55.95</v>
      </c>
      <c r="LM41" s="1">
        <v>54.6</v>
      </c>
      <c r="LN41" s="1">
        <v>54.3</v>
      </c>
      <c r="LO41" s="1">
        <v>54.25</v>
      </c>
      <c r="LP41" s="1">
        <v>53.95</v>
      </c>
      <c r="LQ41" s="1">
        <v>54.05</v>
      </c>
      <c r="LR41" s="1">
        <v>53.8</v>
      </c>
      <c r="LS41" s="1">
        <v>53.9</v>
      </c>
      <c r="LT41" s="1">
        <v>53.75</v>
      </c>
      <c r="LU41" s="1">
        <v>53.75</v>
      </c>
      <c r="LV41" s="1">
        <v>53.46</v>
      </c>
      <c r="LW41" s="1">
        <v>53.25</v>
      </c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27">
        <v>8</v>
      </c>
      <c r="MN41" s="27">
        <f>VLOOKUP(B41,[1]Sheet1!$A:$N,7,0)</f>
        <v>8.94</v>
      </c>
      <c r="MO41" s="27">
        <f>VLOOKUP(B41,[1]Sheet1!$A:$N,8,0)</f>
        <v>4.8899999999999997</v>
      </c>
      <c r="MP41" s="27">
        <f>VLOOKUP(B41,[1]Sheet1!$A:$N,9,0)</f>
        <v>9.3000000000000007</v>
      </c>
      <c r="MQ41" s="27">
        <f>VLOOKUP(B41,[1]Sheet1!$A:$N,10,0)</f>
        <v>8.7700000000000014</v>
      </c>
      <c r="MR41" s="27">
        <f>VLOOKUP(B41,[1]Sheet1!$A:$N,11,0)</f>
        <v>5.8999999999999995</v>
      </c>
      <c r="MS41" s="27">
        <f>VLOOKUP(B41,[1]Sheet1!$A:$N,12,0)</f>
        <v>2.79</v>
      </c>
      <c r="MT41" s="27">
        <f>VLOOKUP(B41,[1]Sheet1!$A:$N,13,0)</f>
        <v>1.45</v>
      </c>
      <c r="MU41" s="27">
        <f>VLOOKUP(B41,[1]Sheet1!$A:$N,14,0)</f>
        <v>1.1700000000000002</v>
      </c>
    </row>
    <row r="42" spans="1:359" s="27" customFormat="1" ht="18.75" customHeight="1" x14ac:dyDescent="0.25">
      <c r="A42" s="8" t="s">
        <v>0</v>
      </c>
      <c r="B42" s="8">
        <v>30162</v>
      </c>
      <c r="C42" s="9" t="s">
        <v>20</v>
      </c>
      <c r="D42" s="10" t="s">
        <v>29</v>
      </c>
      <c r="E42" s="10" t="s">
        <v>82</v>
      </c>
      <c r="F42" s="10" t="s">
        <v>83</v>
      </c>
      <c r="G42" s="39" t="s">
        <v>9</v>
      </c>
      <c r="H42" s="41">
        <v>12</v>
      </c>
      <c r="I42" s="33" t="s">
        <v>2</v>
      </c>
      <c r="J42" s="28">
        <v>14</v>
      </c>
      <c r="K42" s="34">
        <v>16.072699</v>
      </c>
      <c r="L42" s="34">
        <v>81.012789999999995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26">
        <v>0.4</v>
      </c>
      <c r="KL42" s="8">
        <v>1.85</v>
      </c>
      <c r="KM42" s="26">
        <v>1.7000000000000002</v>
      </c>
      <c r="KN42" s="18">
        <v>2.85</v>
      </c>
      <c r="KO42" s="18">
        <v>2.72</v>
      </c>
      <c r="KP42" s="18">
        <v>2.97</v>
      </c>
      <c r="KQ42" s="8">
        <v>3.68</v>
      </c>
      <c r="KR42" s="8">
        <v>3.7399999999999998</v>
      </c>
      <c r="KS42" s="18">
        <v>4.1499999999999995</v>
      </c>
      <c r="KT42" s="8">
        <v>3.86</v>
      </c>
      <c r="KU42" s="26">
        <v>3.04</v>
      </c>
      <c r="KV42" s="8">
        <v>1.8000000000000003</v>
      </c>
      <c r="KW42" s="35">
        <v>1.75</v>
      </c>
      <c r="KX42" s="17">
        <v>1.69</v>
      </c>
      <c r="KY42" s="8">
        <v>2.52</v>
      </c>
      <c r="KZ42" s="17">
        <v>2.81</v>
      </c>
      <c r="LA42" s="17">
        <v>2.94</v>
      </c>
      <c r="LB42" s="17">
        <v>3.15</v>
      </c>
      <c r="LC42" s="17">
        <v>3.22</v>
      </c>
      <c r="LD42" s="17">
        <v>4.8099999999999996</v>
      </c>
      <c r="LE42" s="17">
        <v>3.98</v>
      </c>
      <c r="LF42" s="17">
        <v>3.7600000000000002</v>
      </c>
      <c r="LG42" s="18">
        <v>2.8600000000000003</v>
      </c>
      <c r="LH42" s="18">
        <v>1.94</v>
      </c>
      <c r="LI42" s="18">
        <v>2.0100000000000002</v>
      </c>
      <c r="LJ42" s="18">
        <v>1.56</v>
      </c>
      <c r="LK42" s="18">
        <v>1.7399999999999998</v>
      </c>
      <c r="LL42" s="18">
        <v>1.8400000000000003</v>
      </c>
      <c r="LM42" s="18">
        <v>2.65</v>
      </c>
      <c r="LN42" s="18">
        <v>3.43</v>
      </c>
      <c r="LO42" s="18">
        <v>3.6599999999999997</v>
      </c>
      <c r="LP42" s="18">
        <v>3.4099999999999997</v>
      </c>
      <c r="LQ42" s="18">
        <v>3.2399999999999998</v>
      </c>
      <c r="LR42" s="18">
        <v>3.5000000000000004</v>
      </c>
      <c r="LS42" s="18">
        <v>1.7400000000000002</v>
      </c>
      <c r="LT42" s="18">
        <v>1.6400000000000001</v>
      </c>
      <c r="LU42" s="18">
        <v>2.02</v>
      </c>
      <c r="LV42" s="17">
        <v>4.0999999999999996</v>
      </c>
      <c r="LW42" s="17">
        <v>2.81</v>
      </c>
      <c r="LX42" s="17">
        <v>2.27</v>
      </c>
      <c r="LY42" s="17">
        <v>2.5299999999999998</v>
      </c>
      <c r="LZ42" s="17">
        <v>3.6599999999999997</v>
      </c>
      <c r="MA42" s="17">
        <v>4.1100000000000003</v>
      </c>
      <c r="MB42" s="17">
        <v>4.3100000000000005</v>
      </c>
      <c r="MC42" s="17">
        <v>3.78</v>
      </c>
      <c r="MD42" s="17">
        <v>4.28</v>
      </c>
      <c r="ME42" s="17">
        <v>2.5099999999999998</v>
      </c>
      <c r="MF42" s="17">
        <v>2.0099999999999998</v>
      </c>
      <c r="MG42" s="17">
        <v>1.7399999999999998</v>
      </c>
      <c r="MH42" s="17">
        <v>2.4099999999999997</v>
      </c>
      <c r="MI42" s="17">
        <v>2.13</v>
      </c>
      <c r="MJ42" s="17">
        <v>3.3000000000000003</v>
      </c>
      <c r="MK42" s="17">
        <v>3.4</v>
      </c>
      <c r="ML42" s="17">
        <v>3.53</v>
      </c>
      <c r="MM42" s="27">
        <v>3.51</v>
      </c>
      <c r="MN42" s="27">
        <f>VLOOKUP(B42,[1]Sheet1!$A:$N,7,0)</f>
        <v>3.71</v>
      </c>
      <c r="MO42" s="27">
        <f>VLOOKUP(B42,[1]Sheet1!$A:$N,8,0)</f>
        <v>2.0099999999999998</v>
      </c>
      <c r="MP42" s="27">
        <f>VLOOKUP(B42,[1]Sheet1!$A:$N,9,0)</f>
        <v>3.86</v>
      </c>
      <c r="MQ42" s="27">
        <f>VLOOKUP(B42,[1]Sheet1!$A:$N,10,0)</f>
        <v>3.89</v>
      </c>
      <c r="MR42" s="27">
        <f>VLOOKUP(B42,[1]Sheet1!$A:$N,11,0)</f>
        <v>2.3699999999999997</v>
      </c>
      <c r="MS42" s="27">
        <f>VLOOKUP(B42,[1]Sheet1!$A:$N,12,0)</f>
        <v>1.54</v>
      </c>
      <c r="MT42" s="27">
        <f>VLOOKUP(B42,[1]Sheet1!$A:$N,13,0)</f>
        <v>1.46</v>
      </c>
      <c r="MU42" s="27">
        <f>VLOOKUP(B42,[1]Sheet1!$A:$N,14,0)</f>
        <v>2.1599999999999997</v>
      </c>
    </row>
    <row r="43" spans="1:359" s="27" customFormat="1" ht="18.75" customHeight="1" x14ac:dyDescent="0.25">
      <c r="A43" s="8" t="s">
        <v>0</v>
      </c>
      <c r="B43" s="8">
        <v>30163</v>
      </c>
      <c r="C43" s="9" t="s">
        <v>20</v>
      </c>
      <c r="D43" s="10" t="s">
        <v>29</v>
      </c>
      <c r="E43" s="10" t="s">
        <v>84</v>
      </c>
      <c r="F43" s="10" t="s">
        <v>83</v>
      </c>
      <c r="G43" s="39" t="s">
        <v>9</v>
      </c>
      <c r="H43" s="41">
        <v>40</v>
      </c>
      <c r="I43" s="33" t="s">
        <v>2</v>
      </c>
      <c r="J43" s="28">
        <v>14</v>
      </c>
      <c r="K43" s="34">
        <v>16.072668</v>
      </c>
      <c r="L43" s="34">
        <v>81.012793000000002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26">
        <v>15.35</v>
      </c>
      <c r="KL43" s="8">
        <v>12.85</v>
      </c>
      <c r="KM43" s="26">
        <v>13.82</v>
      </c>
      <c r="KN43" s="18">
        <v>12.75</v>
      </c>
      <c r="KO43" s="18">
        <v>14.959999999999999</v>
      </c>
      <c r="KP43" s="18">
        <v>15.97</v>
      </c>
      <c r="KQ43" s="8">
        <v>17.080000000000002</v>
      </c>
      <c r="KR43" s="8">
        <v>17.450000000000003</v>
      </c>
      <c r="KS43" s="18">
        <v>17.900000000000002</v>
      </c>
      <c r="KT43" s="8">
        <v>17.900000000000002</v>
      </c>
      <c r="KU43" s="26">
        <v>17.020000000000003</v>
      </c>
      <c r="KV43" s="8">
        <v>17.03</v>
      </c>
      <c r="KW43" s="35">
        <v>16.25</v>
      </c>
      <c r="KX43" s="17">
        <v>16.12</v>
      </c>
      <c r="KY43" s="8">
        <v>16.5</v>
      </c>
      <c r="KZ43" s="17">
        <v>16.920000000000002</v>
      </c>
      <c r="LA43" s="17">
        <v>17.040000000000003</v>
      </c>
      <c r="LB43" s="17">
        <v>17.260000000000002</v>
      </c>
      <c r="LC43" s="17">
        <v>17.190000000000001</v>
      </c>
      <c r="LD43" s="17">
        <v>19.330000000000002</v>
      </c>
      <c r="LE43" s="17">
        <v>18.380000000000003</v>
      </c>
      <c r="LF43" s="17">
        <v>17.450000000000003</v>
      </c>
      <c r="LG43" s="18">
        <v>16.550000000000004</v>
      </c>
      <c r="LH43" s="18">
        <v>16.290000000000003</v>
      </c>
      <c r="LI43" s="18">
        <v>17.02</v>
      </c>
      <c r="LJ43" s="18">
        <v>14.59</v>
      </c>
      <c r="LK43" s="18">
        <v>15.31</v>
      </c>
      <c r="LL43" s="18">
        <v>15.409999999999998</v>
      </c>
      <c r="LM43" s="18">
        <v>14.299999999999999</v>
      </c>
      <c r="LN43" s="18">
        <v>15.819999999999999</v>
      </c>
      <c r="LO43" s="18">
        <v>16.05</v>
      </c>
      <c r="LP43" s="18">
        <v>16.66</v>
      </c>
      <c r="LQ43" s="18">
        <v>17.330000000000002</v>
      </c>
      <c r="LR43" s="18">
        <v>17.66</v>
      </c>
      <c r="LS43" s="18">
        <v>16.73</v>
      </c>
      <c r="LT43" s="18">
        <v>16.440000000000001</v>
      </c>
      <c r="LU43" s="18">
        <v>16.55</v>
      </c>
      <c r="LV43" s="17">
        <v>16.850000000000001</v>
      </c>
      <c r="LW43" s="17">
        <v>16.43</v>
      </c>
      <c r="LX43" s="17">
        <v>15.47</v>
      </c>
      <c r="LY43" s="17">
        <v>15.739999999999998</v>
      </c>
      <c r="LZ43" s="17">
        <v>17.11</v>
      </c>
      <c r="MA43" s="17">
        <v>18.05</v>
      </c>
      <c r="MB43" s="17">
        <v>18.12</v>
      </c>
      <c r="MC43" s="17">
        <v>18.45</v>
      </c>
      <c r="MD43" s="17">
        <v>17.86</v>
      </c>
      <c r="ME43" s="17">
        <v>17</v>
      </c>
      <c r="MF43" s="17">
        <v>16.96</v>
      </c>
      <c r="MG43" s="17">
        <v>13.36</v>
      </c>
      <c r="MH43" s="17">
        <v>14.67</v>
      </c>
      <c r="MI43" s="17">
        <v>17.190000000000001</v>
      </c>
      <c r="MJ43" s="17">
        <v>17.54</v>
      </c>
      <c r="MK43" s="17">
        <v>17.190000000000001</v>
      </c>
      <c r="ML43" s="17">
        <v>17.3</v>
      </c>
      <c r="MM43" s="27">
        <v>18.96</v>
      </c>
      <c r="MN43" s="27">
        <f>VLOOKUP(B43,[1]Sheet1!$A:$N,7,0)</f>
        <v>18.86</v>
      </c>
      <c r="MO43" s="27">
        <f>VLOOKUP(B43,[1]Sheet1!$A:$N,8,0)</f>
        <v>16.96</v>
      </c>
      <c r="MP43" s="27">
        <f>VLOOKUP(B43,[1]Sheet1!$A:$N,9,0)</f>
        <v>19.510000000000002</v>
      </c>
      <c r="MQ43" s="27">
        <f>VLOOKUP(B43,[1]Sheet1!$A:$N,10,0)</f>
        <v>20.93</v>
      </c>
      <c r="MR43" s="27">
        <f>VLOOKUP(B43,[1]Sheet1!$A:$N,11,0)</f>
        <v>19.760000000000002</v>
      </c>
      <c r="MS43" s="27">
        <f>VLOOKUP(B43,[1]Sheet1!$A:$N,12,0)</f>
        <v>18.03</v>
      </c>
      <c r="MT43" s="27">
        <f>VLOOKUP(B43,[1]Sheet1!$A:$N,13,0)</f>
        <v>17.8</v>
      </c>
      <c r="MU43" s="27">
        <f>VLOOKUP(B43,[1]Sheet1!$A:$N,14,0)</f>
        <v>16.2</v>
      </c>
    </row>
    <row r="44" spans="1:359" s="27" customFormat="1" ht="18.75" customHeight="1" x14ac:dyDescent="0.25">
      <c r="A44" s="8" t="s">
        <v>0</v>
      </c>
      <c r="B44" s="8">
        <v>30383</v>
      </c>
      <c r="C44" s="9" t="s">
        <v>20</v>
      </c>
      <c r="D44" s="10" t="s">
        <v>85</v>
      </c>
      <c r="E44" s="10" t="s">
        <v>85</v>
      </c>
      <c r="F44" s="28" t="s">
        <v>79</v>
      </c>
      <c r="G44" s="39" t="s">
        <v>9</v>
      </c>
      <c r="H44" s="41">
        <v>23</v>
      </c>
      <c r="I44" s="33" t="s">
        <v>2</v>
      </c>
      <c r="J44" s="14">
        <v>7</v>
      </c>
      <c r="K44" s="34">
        <v>16.373895999999998</v>
      </c>
      <c r="L44" s="34">
        <v>81.267212000000001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26">
        <v>0.2</v>
      </c>
      <c r="KL44" s="8">
        <v>0.35</v>
      </c>
      <c r="KM44" s="26">
        <v>0.42000000000000004</v>
      </c>
      <c r="KN44" s="18">
        <v>0.54999999999999993</v>
      </c>
      <c r="KO44" s="18">
        <v>3.5100000000000002</v>
      </c>
      <c r="KP44" s="18">
        <v>0.47000000000000008</v>
      </c>
      <c r="KQ44" s="8">
        <v>0.69000000000000006</v>
      </c>
      <c r="KR44" s="8">
        <v>0.67</v>
      </c>
      <c r="KS44" s="18">
        <v>0.70000000000000007</v>
      </c>
      <c r="KT44" s="8">
        <v>0.61</v>
      </c>
      <c r="KU44" s="26">
        <v>0.47999999999999987</v>
      </c>
      <c r="KV44" s="8">
        <v>0.78999999999999992</v>
      </c>
      <c r="KW44" s="35">
        <v>0.84</v>
      </c>
      <c r="KX44" s="17">
        <v>0.92</v>
      </c>
      <c r="KY44" s="8">
        <v>5.9999999999999942E-2</v>
      </c>
      <c r="KZ44" s="17">
        <v>0.22000000000000008</v>
      </c>
      <c r="LA44" s="17">
        <v>0.27999999999999992</v>
      </c>
      <c r="LB44" s="17">
        <v>0.6</v>
      </c>
      <c r="LC44" s="17">
        <v>1.1800000000000002</v>
      </c>
      <c r="LD44" s="17">
        <v>1.9300000000000002</v>
      </c>
      <c r="LE44" s="17">
        <v>1.1000000000000001</v>
      </c>
      <c r="LF44" s="17">
        <v>0.99999999999999989</v>
      </c>
      <c r="LG44" s="18">
        <v>2.56</v>
      </c>
      <c r="LH44" s="18">
        <v>0.24999999999999989</v>
      </c>
      <c r="LI44" s="18">
        <v>9.9999999999999978E-2</v>
      </c>
      <c r="LJ44" s="18">
        <v>4.9999999999999933E-2</v>
      </c>
      <c r="LK44" s="18">
        <v>0.61</v>
      </c>
      <c r="LL44" s="18">
        <v>0.52999999999999992</v>
      </c>
      <c r="LM44" s="18">
        <v>0.82</v>
      </c>
      <c r="LN44" s="18">
        <v>0.85</v>
      </c>
      <c r="LO44" s="18">
        <v>0.91</v>
      </c>
      <c r="LP44" s="18">
        <v>0.92</v>
      </c>
      <c r="LQ44" s="18">
        <v>0.6</v>
      </c>
      <c r="LR44" s="18">
        <v>1.3000000000000003</v>
      </c>
      <c r="LS44" s="18">
        <v>0.12</v>
      </c>
      <c r="LT44" s="18">
        <v>0.06</v>
      </c>
      <c r="LU44" s="18">
        <v>2.4</v>
      </c>
      <c r="LV44" s="17">
        <v>0.38</v>
      </c>
      <c r="LW44" s="17">
        <v>0.46000000000000008</v>
      </c>
      <c r="LX44" s="17">
        <v>-0.10999999999999999</v>
      </c>
      <c r="LY44" s="17">
        <v>0.63</v>
      </c>
      <c r="LZ44" s="17">
        <v>0.94000000000000006</v>
      </c>
      <c r="MA44" s="17">
        <v>1.1599999999999999</v>
      </c>
      <c r="MB44" s="17">
        <v>1.35</v>
      </c>
      <c r="MC44" s="17">
        <v>1.4900000000000002</v>
      </c>
      <c r="MD44" s="17">
        <v>1.1200000000000001</v>
      </c>
      <c r="ME44" s="17">
        <v>0</v>
      </c>
      <c r="MF44" s="17">
        <v>0.20000000000000007</v>
      </c>
      <c r="MG44" s="17">
        <v>0</v>
      </c>
      <c r="MH44" s="17">
        <v>0</v>
      </c>
      <c r="MI44" s="17">
        <v>0.4</v>
      </c>
      <c r="MJ44" s="17">
        <v>0.45000000000000007</v>
      </c>
      <c r="MK44" s="17">
        <v>0.73999999999999988</v>
      </c>
      <c r="ML44" s="17">
        <v>0.79999999999999993</v>
      </c>
      <c r="MM44" s="27">
        <v>0.89</v>
      </c>
      <c r="MN44" s="27">
        <f>VLOOKUP(B44,[1]Sheet1!$A:$N,7,0)</f>
        <v>1.02</v>
      </c>
      <c r="MO44" s="27">
        <f>VLOOKUP(B44,[1]Sheet1!$A:$N,8,0)</f>
        <v>0.20000000000000007</v>
      </c>
      <c r="MP44" s="27">
        <f>VLOOKUP(B44,[1]Sheet1!$A:$N,9,0)</f>
        <v>0.88</v>
      </c>
      <c r="MQ44" s="27">
        <f>VLOOKUP(B44,[1]Sheet1!$A:$N,10,0)</f>
        <v>3.9999999999999925E-2</v>
      </c>
      <c r="MR44" s="27">
        <f>VLOOKUP(B44,[1]Sheet1!$A:$N,11,0)</f>
        <v>3.0000000000000027E-2</v>
      </c>
      <c r="MS44" s="27">
        <f>VLOOKUP(B44,[1]Sheet1!$A:$N,12,0)</f>
        <v>0</v>
      </c>
      <c r="MT44" s="27">
        <f>VLOOKUP(B44,[1]Sheet1!$A:$N,13,0)</f>
        <v>0</v>
      </c>
      <c r="MU44" s="27">
        <f>VLOOKUP(B44,[1]Sheet1!$A:$N,14,0)</f>
        <v>0.4</v>
      </c>
    </row>
    <row r="45" spans="1:359" s="27" customFormat="1" ht="18.75" customHeight="1" x14ac:dyDescent="0.25">
      <c r="A45" s="8" t="s">
        <v>0</v>
      </c>
      <c r="B45" s="8">
        <v>30385</v>
      </c>
      <c r="C45" s="9" t="s">
        <v>20</v>
      </c>
      <c r="D45" s="10" t="s">
        <v>31</v>
      </c>
      <c r="E45" s="10" t="s">
        <v>86</v>
      </c>
      <c r="F45" s="28" t="s">
        <v>4</v>
      </c>
      <c r="G45" s="39" t="s">
        <v>9</v>
      </c>
      <c r="H45" s="41">
        <v>18</v>
      </c>
      <c r="I45" s="33" t="s">
        <v>2</v>
      </c>
      <c r="J45" s="28">
        <v>22</v>
      </c>
      <c r="K45" s="34">
        <v>16.075434999999999</v>
      </c>
      <c r="L45" s="34">
        <v>80.899069999999995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26">
        <v>4.4400000000000004</v>
      </c>
      <c r="KL45" s="8">
        <v>3.6300000000000003</v>
      </c>
      <c r="KM45" s="26">
        <v>2.5500000000000003</v>
      </c>
      <c r="KN45" s="18">
        <v>5.47</v>
      </c>
      <c r="KO45" s="18">
        <v>6.85</v>
      </c>
      <c r="KP45" s="18">
        <v>6.76</v>
      </c>
      <c r="KQ45" s="8">
        <v>7.1</v>
      </c>
      <c r="KR45" s="8">
        <v>6.9899999999999993</v>
      </c>
      <c r="KS45" s="18">
        <v>7.02</v>
      </c>
      <c r="KT45" s="8">
        <v>6.9399999999999995</v>
      </c>
      <c r="KU45" s="26">
        <v>6.67</v>
      </c>
      <c r="KV45" s="8">
        <v>6.64</v>
      </c>
      <c r="KW45" s="35">
        <v>6.9099999999999993</v>
      </c>
      <c r="KX45" s="17">
        <v>6.79</v>
      </c>
      <c r="KY45" s="8">
        <v>5.0999999999999996</v>
      </c>
      <c r="KZ45" s="17">
        <v>5.83</v>
      </c>
      <c r="LA45" s="17">
        <v>6.1199999999999992</v>
      </c>
      <c r="LB45" s="17">
        <v>6.4099999999999993</v>
      </c>
      <c r="LC45" s="17">
        <v>6.4899999999999993</v>
      </c>
      <c r="LD45" s="17">
        <v>8.27</v>
      </c>
      <c r="LE45" s="17">
        <v>7.2799999999999994</v>
      </c>
      <c r="LF45" s="17">
        <v>7.25</v>
      </c>
      <c r="LG45" s="18">
        <v>6.35</v>
      </c>
      <c r="LH45" s="18">
        <v>5.55</v>
      </c>
      <c r="LI45" s="18">
        <v>5.14</v>
      </c>
      <c r="LJ45" s="18">
        <v>4.3199999999999994</v>
      </c>
      <c r="LK45" s="18">
        <v>5.86</v>
      </c>
      <c r="LL45" s="18">
        <v>5.76</v>
      </c>
      <c r="LM45" s="18">
        <v>6.9499999999999993</v>
      </c>
      <c r="LN45" s="18">
        <v>7.02</v>
      </c>
      <c r="LO45" s="18">
        <v>6.85</v>
      </c>
      <c r="LP45" s="18">
        <v>7.1</v>
      </c>
      <c r="LQ45" s="18">
        <v>7.129999999999999</v>
      </c>
      <c r="LR45" s="18">
        <v>7.52</v>
      </c>
      <c r="LS45" s="18">
        <v>6.2799999999999994</v>
      </c>
      <c r="LT45" s="18">
        <v>6.38</v>
      </c>
      <c r="LU45" s="18">
        <v>6.3999999999999995</v>
      </c>
      <c r="LV45" s="17">
        <v>7</v>
      </c>
      <c r="LW45" s="17">
        <v>6.39</v>
      </c>
      <c r="LX45" s="17">
        <v>6.35</v>
      </c>
      <c r="LY45" s="17">
        <v>7.0299999999999994</v>
      </c>
      <c r="LZ45" s="17">
        <v>7.43</v>
      </c>
      <c r="MA45" s="17">
        <v>7.62</v>
      </c>
      <c r="MB45" s="17">
        <v>7.7899999999999991</v>
      </c>
      <c r="MC45" s="17">
        <v>7.34</v>
      </c>
      <c r="MD45" s="17">
        <v>7.4499999999999993</v>
      </c>
      <c r="ME45" s="17">
        <v>7.05</v>
      </c>
      <c r="MF45" s="17">
        <v>6.47</v>
      </c>
      <c r="MG45" s="17">
        <v>4.9799999999999995</v>
      </c>
      <c r="MH45" s="17">
        <v>5.2399999999999993</v>
      </c>
      <c r="MI45" s="17">
        <v>6.38</v>
      </c>
      <c r="MJ45" s="17">
        <v>6.3999999999999995</v>
      </c>
      <c r="MK45" s="17">
        <v>7.05</v>
      </c>
      <c r="ML45" s="17">
        <v>7.1399999999999988</v>
      </c>
      <c r="MM45" s="27">
        <v>7.4</v>
      </c>
      <c r="MN45" s="27">
        <f>VLOOKUP(B45,[1]Sheet1!$A:$N,7,0)</f>
        <v>7.5</v>
      </c>
      <c r="MO45" s="27">
        <f>VLOOKUP(B45,[1]Sheet1!$A:$N,8,0)</f>
        <v>6.47</v>
      </c>
      <c r="MP45" s="27">
        <f>VLOOKUP(B45,[1]Sheet1!$A:$N,9,0)</f>
        <v>7</v>
      </c>
      <c r="MQ45" s="27">
        <f>VLOOKUP(B45,[1]Sheet1!$A:$N,10,0)</f>
        <v>7.0299999999999994</v>
      </c>
      <c r="MR45" s="27">
        <f>VLOOKUP(B45,[1]Sheet1!$A:$N,11,0)</f>
        <v>4.05</v>
      </c>
      <c r="MS45" s="27">
        <f>VLOOKUP(B45,[1]Sheet1!$A:$N,12,0)</f>
        <v>4.37</v>
      </c>
      <c r="MT45" s="27">
        <f>VLOOKUP(B45,[1]Sheet1!$A:$N,13,0)</f>
        <v>4.66</v>
      </c>
      <c r="MU45" s="27">
        <f>VLOOKUP(B45,[1]Sheet1!$A:$N,14,0)</f>
        <v>5.7799999999999994</v>
      </c>
    </row>
    <row r="46" spans="1:359" s="27" customFormat="1" ht="18.75" customHeight="1" x14ac:dyDescent="0.25">
      <c r="A46" s="8" t="s">
        <v>0</v>
      </c>
      <c r="B46" s="8">
        <v>30386</v>
      </c>
      <c r="C46" s="9" t="s">
        <v>20</v>
      </c>
      <c r="D46" s="10" t="s">
        <v>68</v>
      </c>
      <c r="E46" s="10" t="s">
        <v>87</v>
      </c>
      <c r="F46" s="28" t="s">
        <v>79</v>
      </c>
      <c r="G46" s="39" t="s">
        <v>9</v>
      </c>
      <c r="H46" s="41">
        <v>24</v>
      </c>
      <c r="I46" s="33" t="s">
        <v>2</v>
      </c>
      <c r="J46" s="28">
        <v>12</v>
      </c>
      <c r="K46" s="34">
        <v>16.252882</v>
      </c>
      <c r="L46" s="34">
        <v>81.224644999999995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26">
        <v>0.52</v>
      </c>
      <c r="KL46" s="8">
        <v>9.9999999999999978E-2</v>
      </c>
      <c r="KM46" s="26">
        <v>0.49999999999999989</v>
      </c>
      <c r="KN46" s="18">
        <v>0.56999999999999995</v>
      </c>
      <c r="KO46" s="18">
        <v>0.87</v>
      </c>
      <c r="KP46" s="18">
        <v>1.1000000000000001</v>
      </c>
      <c r="KQ46" s="8">
        <v>1.62</v>
      </c>
      <c r="KR46" s="8">
        <v>1.7200000000000002</v>
      </c>
      <c r="KS46" s="18">
        <v>1.85</v>
      </c>
      <c r="KT46" s="8">
        <v>1.79</v>
      </c>
      <c r="KU46" s="26">
        <v>1.1200000000000001</v>
      </c>
      <c r="KV46" s="8">
        <v>0.98999999999999988</v>
      </c>
      <c r="KW46" s="35">
        <v>1.1400000000000001</v>
      </c>
      <c r="KX46" s="17">
        <v>1.08</v>
      </c>
      <c r="KY46" s="8">
        <v>0.17000000000000004</v>
      </c>
      <c r="KZ46" s="17">
        <v>0.36</v>
      </c>
      <c r="LA46" s="17">
        <v>0.91</v>
      </c>
      <c r="LB46" s="17">
        <v>1.0499999999999998</v>
      </c>
      <c r="LC46" s="17">
        <v>0.91</v>
      </c>
      <c r="LD46" s="17">
        <v>2.35</v>
      </c>
      <c r="LE46" s="17">
        <v>1.73</v>
      </c>
      <c r="LF46" s="17">
        <v>1.7600000000000002</v>
      </c>
      <c r="LG46" s="18">
        <v>0.86000000000000021</v>
      </c>
      <c r="LH46" s="18">
        <v>0.15000000000000002</v>
      </c>
      <c r="LI46" s="18">
        <v>1.1499999999999999</v>
      </c>
      <c r="LJ46" s="18">
        <v>0.5099999999999999</v>
      </c>
      <c r="LK46" s="18">
        <v>1.0899999999999999</v>
      </c>
      <c r="LL46" s="18">
        <v>1.04</v>
      </c>
      <c r="LM46" s="18">
        <v>1.33</v>
      </c>
      <c r="LN46" s="18">
        <v>1.5</v>
      </c>
      <c r="LO46" s="18">
        <v>0.82</v>
      </c>
      <c r="LP46" s="18">
        <v>1.5300000000000002</v>
      </c>
      <c r="LQ46" s="18">
        <v>1.35</v>
      </c>
      <c r="LR46" s="18">
        <v>1.8200000000000003</v>
      </c>
      <c r="LS46" s="18">
        <v>9.9999999999999978E-2</v>
      </c>
      <c r="LT46" s="18">
        <v>0.65</v>
      </c>
      <c r="LU46" s="18">
        <v>0.33999999999999997</v>
      </c>
      <c r="LV46" s="17">
        <v>0.55999999999999994</v>
      </c>
      <c r="LW46" s="17">
        <v>0.96</v>
      </c>
      <c r="LX46" s="17">
        <v>0.51000000000000012</v>
      </c>
      <c r="LY46" s="17">
        <v>0.78</v>
      </c>
      <c r="LZ46" s="17">
        <v>1.5599999999999998</v>
      </c>
      <c r="MA46" s="17">
        <v>1.44</v>
      </c>
      <c r="MB46" s="17">
        <v>1.0899999999999999</v>
      </c>
      <c r="MC46" s="17">
        <v>1.6900000000000002</v>
      </c>
      <c r="MD46" s="17">
        <v>1.6500000000000001</v>
      </c>
      <c r="ME46" s="17">
        <v>0.45999999999999996</v>
      </c>
      <c r="MF46" s="17">
        <v>0.52</v>
      </c>
      <c r="MG46" s="17">
        <v>0.47</v>
      </c>
      <c r="MH46" s="17">
        <v>0.24</v>
      </c>
      <c r="MI46" s="17">
        <v>0.43999999999999995</v>
      </c>
      <c r="MJ46" s="17">
        <v>1.0999999999999999</v>
      </c>
      <c r="MK46" s="17">
        <v>1.2</v>
      </c>
      <c r="ML46" s="17">
        <v>1.3</v>
      </c>
      <c r="MM46" s="27">
        <v>1.59</v>
      </c>
      <c r="MN46" s="27">
        <f>VLOOKUP(B46,[1]Sheet1!$A:$N,7,0)</f>
        <v>1.8</v>
      </c>
      <c r="MO46" s="27">
        <f>VLOOKUP(B46,[1]Sheet1!$A:$N,8,0)</f>
        <v>0.52</v>
      </c>
      <c r="MP46" s="27">
        <f>VLOOKUP(B46,[1]Sheet1!$A:$N,9,0)</f>
        <v>4.71</v>
      </c>
      <c r="MQ46" s="27">
        <f>VLOOKUP(B46,[1]Sheet1!$A:$N,10,0)</f>
        <v>3.9000000000000004</v>
      </c>
      <c r="MR46" s="27">
        <f>VLOOKUP(B46,[1]Sheet1!$A:$N,11,0)</f>
        <v>2.7</v>
      </c>
      <c r="MS46" s="27">
        <f>VLOOKUP(B46,[1]Sheet1!$A:$N,12,0)</f>
        <v>0.73</v>
      </c>
      <c r="MT46" s="27">
        <f>VLOOKUP(B46,[1]Sheet1!$A:$N,13,0)</f>
        <v>1.48</v>
      </c>
      <c r="MU46" s="27">
        <f>VLOOKUP(B46,[1]Sheet1!$A:$N,14,0)</f>
        <v>0.78</v>
      </c>
    </row>
    <row r="47" spans="1:359" s="27" customFormat="1" ht="18.75" customHeight="1" x14ac:dyDescent="0.25">
      <c r="A47" s="8" t="s">
        <v>0</v>
      </c>
      <c r="B47" s="8">
        <v>30387</v>
      </c>
      <c r="C47" s="9" t="s">
        <v>20</v>
      </c>
      <c r="D47" s="10" t="s">
        <v>65</v>
      </c>
      <c r="E47" s="10" t="s">
        <v>88</v>
      </c>
      <c r="F47" s="10" t="s">
        <v>28</v>
      </c>
      <c r="G47" s="39" t="s">
        <v>9</v>
      </c>
      <c r="H47" s="41">
        <v>40</v>
      </c>
      <c r="I47" s="33" t="s">
        <v>2</v>
      </c>
      <c r="J47" s="28">
        <v>13</v>
      </c>
      <c r="K47" s="34">
        <v>16.277477000000001</v>
      </c>
      <c r="L47" s="34">
        <v>81.064188999999999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26">
        <v>3.08</v>
      </c>
      <c r="KL47" s="8">
        <v>2.9</v>
      </c>
      <c r="KM47" s="26">
        <v>2.85</v>
      </c>
      <c r="KN47" s="18">
        <v>2.96</v>
      </c>
      <c r="KO47" s="18">
        <v>2.71</v>
      </c>
      <c r="KP47" s="18">
        <v>2.88</v>
      </c>
      <c r="KQ47" s="8">
        <v>3.22</v>
      </c>
      <c r="KR47" s="8">
        <v>3.53</v>
      </c>
      <c r="KS47" s="18">
        <v>3.61</v>
      </c>
      <c r="KT47" s="8">
        <v>3.53</v>
      </c>
      <c r="KU47" s="26">
        <v>2.7800000000000002</v>
      </c>
      <c r="KV47" s="8">
        <v>2.2400000000000002</v>
      </c>
      <c r="KW47" s="35">
        <v>1.7400000000000002</v>
      </c>
      <c r="KX47" s="17">
        <v>2.58</v>
      </c>
      <c r="KY47" s="8">
        <v>3.1</v>
      </c>
      <c r="KZ47" s="17">
        <v>3.4600000000000004</v>
      </c>
      <c r="LA47" s="17">
        <v>3.9600000000000004</v>
      </c>
      <c r="LB47" s="17">
        <v>4.22</v>
      </c>
      <c r="LC47" s="17">
        <v>3.8400000000000003</v>
      </c>
      <c r="LD47" s="17">
        <v>4.4099999999999993</v>
      </c>
      <c r="LE47" s="17">
        <v>3.8000000000000003</v>
      </c>
      <c r="LF47" s="17">
        <v>3.8300000000000005</v>
      </c>
      <c r="LG47" s="18">
        <v>2.9300000000000006</v>
      </c>
      <c r="LH47" s="18">
        <v>3.61</v>
      </c>
      <c r="LI47" s="18">
        <v>3.5800000000000005</v>
      </c>
      <c r="LJ47" s="18">
        <v>2.68</v>
      </c>
      <c r="LK47" s="18">
        <v>3.3300000000000005</v>
      </c>
      <c r="LL47" s="18">
        <v>3.3000000000000003</v>
      </c>
      <c r="LM47" s="18">
        <v>3.43</v>
      </c>
      <c r="LN47" s="18">
        <v>3.6199999999999997</v>
      </c>
      <c r="LO47" s="18">
        <v>3.85</v>
      </c>
      <c r="LP47" s="18">
        <v>3.78</v>
      </c>
      <c r="LQ47" s="18">
        <v>3.85</v>
      </c>
      <c r="LR47" s="18">
        <v>3.86</v>
      </c>
      <c r="LS47" s="18">
        <v>3.7500000000000004</v>
      </c>
      <c r="LT47" s="18">
        <v>3.69</v>
      </c>
      <c r="LU47" s="18">
        <v>3.5500000000000003</v>
      </c>
      <c r="LV47" s="17">
        <v>3.9200000000000004</v>
      </c>
      <c r="LW47" s="17">
        <v>3.52</v>
      </c>
      <c r="LX47" s="17">
        <v>3.5300000000000002</v>
      </c>
      <c r="LY47" s="17">
        <v>3.64</v>
      </c>
      <c r="LZ47" s="17">
        <v>3.6999999999999997</v>
      </c>
      <c r="MA47" s="17">
        <v>3.95</v>
      </c>
      <c r="MB47" s="17">
        <v>4.17</v>
      </c>
      <c r="MC47" s="17">
        <v>4.26</v>
      </c>
      <c r="MD47" s="17">
        <v>4.29</v>
      </c>
      <c r="ME47" s="17">
        <v>4.1499999999999995</v>
      </c>
      <c r="MF47" s="17">
        <v>4.01</v>
      </c>
      <c r="MG47" s="17">
        <v>3.8000000000000003</v>
      </c>
      <c r="MH47" s="17">
        <v>3.85</v>
      </c>
      <c r="MI47" s="17">
        <v>3.6999999999999997</v>
      </c>
      <c r="MJ47" s="17">
        <v>3.72</v>
      </c>
      <c r="MK47" s="17">
        <v>3.85</v>
      </c>
      <c r="ML47" s="17">
        <v>3.98</v>
      </c>
      <c r="MM47" s="27">
        <v>4.04</v>
      </c>
      <c r="MN47" s="27">
        <f>VLOOKUP(B47,[1]Sheet1!$A:$N,7,0)</f>
        <v>4.38</v>
      </c>
      <c r="MO47" s="27">
        <f>VLOOKUP(B47,[1]Sheet1!$A:$N,8,0)</f>
        <v>4.01</v>
      </c>
      <c r="MP47" s="27">
        <f>VLOOKUP(B47,[1]Sheet1!$A:$N,9,0)</f>
        <v>3.97</v>
      </c>
      <c r="MQ47" s="27">
        <f>VLOOKUP(B47,[1]Sheet1!$A:$N,10,0)</f>
        <v>4.3499999999999996</v>
      </c>
      <c r="MR47" s="27">
        <f>VLOOKUP(B47,[1]Sheet1!$A:$N,11,0)</f>
        <v>4.25</v>
      </c>
      <c r="MS47" s="27">
        <f>VLOOKUP(B47,[1]Sheet1!$A:$N,12,0)</f>
        <v>3.94</v>
      </c>
      <c r="MT47" s="27">
        <f>VLOOKUP(B47,[1]Sheet1!$A:$N,13,0)</f>
        <v>3.76</v>
      </c>
      <c r="MU47" s="27">
        <f>VLOOKUP(B47,[1]Sheet1!$A:$N,14,0)</f>
        <v>4.04</v>
      </c>
    </row>
    <row r="48" spans="1:359" s="27" customFormat="1" ht="18.75" customHeight="1" x14ac:dyDescent="0.25">
      <c r="A48" s="8" t="s">
        <v>0</v>
      </c>
      <c r="B48" s="8">
        <v>30388</v>
      </c>
      <c r="C48" s="9" t="s">
        <v>20</v>
      </c>
      <c r="D48" s="10" t="s">
        <v>89</v>
      </c>
      <c r="E48" s="10" t="s">
        <v>90</v>
      </c>
      <c r="F48" s="10" t="s">
        <v>91</v>
      </c>
      <c r="G48" s="39" t="s">
        <v>9</v>
      </c>
      <c r="H48" s="41">
        <v>30</v>
      </c>
      <c r="I48" s="33" t="s">
        <v>2</v>
      </c>
      <c r="J48" s="28">
        <v>9</v>
      </c>
      <c r="K48" s="34">
        <v>16.317896000000001</v>
      </c>
      <c r="L48" s="34">
        <v>81.166544000000002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26">
        <v>7.04</v>
      </c>
      <c r="KL48" s="8">
        <v>7.0299999999999994</v>
      </c>
      <c r="KM48" s="26">
        <v>8.85</v>
      </c>
      <c r="KN48" s="18">
        <v>8.5399999999999991</v>
      </c>
      <c r="KO48" s="18">
        <v>8.9</v>
      </c>
      <c r="KP48" s="18">
        <v>9.2199999999999989</v>
      </c>
      <c r="KQ48" s="8">
        <v>9.6</v>
      </c>
      <c r="KR48" s="8">
        <v>9.85</v>
      </c>
      <c r="KS48" s="18">
        <v>9.65</v>
      </c>
      <c r="KT48" s="8">
        <v>9.52</v>
      </c>
      <c r="KU48" s="26">
        <v>8.9499999999999993</v>
      </c>
      <c r="KV48" s="8">
        <v>8.48</v>
      </c>
      <c r="KW48" s="35">
        <v>8.18</v>
      </c>
      <c r="KX48" s="17">
        <v>8.44</v>
      </c>
      <c r="KY48" s="8">
        <v>8.25</v>
      </c>
      <c r="KZ48" s="17">
        <v>8.56</v>
      </c>
      <c r="LA48" s="17">
        <v>8.4599999999999991</v>
      </c>
      <c r="LB48" s="17">
        <v>9.0299999999999994</v>
      </c>
      <c r="LC48" s="17">
        <v>8.48</v>
      </c>
      <c r="LD48" s="17">
        <v>12.08</v>
      </c>
      <c r="LE48" s="17">
        <v>9.57</v>
      </c>
      <c r="LF48" s="17">
        <v>8.5499999999999989</v>
      </c>
      <c r="LG48" s="8">
        <v>7.65</v>
      </c>
      <c r="LH48" s="18">
        <v>6.8999999999999995</v>
      </c>
      <c r="LI48" s="18">
        <v>11.66</v>
      </c>
      <c r="LJ48" s="18">
        <v>11.469999999999999</v>
      </c>
      <c r="LK48" s="18">
        <v>11.61</v>
      </c>
      <c r="LL48" s="18">
        <v>11.5</v>
      </c>
      <c r="LM48" s="18">
        <v>11.9</v>
      </c>
      <c r="LN48" s="18">
        <v>11.4</v>
      </c>
      <c r="LO48" s="18">
        <v>11.7</v>
      </c>
      <c r="LP48" s="18">
        <v>11.959999999999999</v>
      </c>
      <c r="LQ48" s="18">
        <v>11.799999999999999</v>
      </c>
      <c r="LR48" s="18">
        <v>12</v>
      </c>
      <c r="LS48" s="18">
        <v>11.65</v>
      </c>
      <c r="LT48" s="18">
        <v>11.85</v>
      </c>
      <c r="LU48" s="18">
        <v>11.65</v>
      </c>
      <c r="LV48" s="17">
        <v>11.86</v>
      </c>
      <c r="LW48" s="17">
        <v>12</v>
      </c>
      <c r="LX48" s="17">
        <v>12.24</v>
      </c>
      <c r="LY48" s="17">
        <v>12.2</v>
      </c>
      <c r="LZ48" s="17">
        <v>11.34</v>
      </c>
      <c r="MA48" s="17">
        <v>12.62</v>
      </c>
      <c r="MB48" s="17">
        <v>10.7</v>
      </c>
      <c r="MC48" s="17">
        <v>10.9</v>
      </c>
      <c r="MD48" s="17">
        <v>10.08</v>
      </c>
      <c r="ME48" s="17">
        <v>10.78</v>
      </c>
      <c r="MF48" s="17">
        <v>10.799999999999999</v>
      </c>
      <c r="MG48" s="17">
        <v>10.7</v>
      </c>
      <c r="MH48" s="17">
        <v>10.6</v>
      </c>
      <c r="MI48" s="17">
        <v>10.56</v>
      </c>
      <c r="MJ48" s="17">
        <v>10.6</v>
      </c>
      <c r="MK48" s="17">
        <v>10.9</v>
      </c>
      <c r="ML48" s="17">
        <v>11.06</v>
      </c>
      <c r="MM48" s="27">
        <v>11.2</v>
      </c>
      <c r="MN48" s="27">
        <f>VLOOKUP(B48,[1]Sheet1!$A:$N,7,0)</f>
        <v>11.45</v>
      </c>
      <c r="MO48" s="27">
        <f>VLOOKUP(B48,[1]Sheet1!$A:$N,8,0)</f>
        <v>10.799999999999999</v>
      </c>
      <c r="MP48" s="27">
        <f>VLOOKUP(B48,[1]Sheet1!$A:$N,9,0)</f>
        <v>13.95</v>
      </c>
      <c r="MQ48" s="27">
        <f>VLOOKUP(B48,[1]Sheet1!$A:$N,10,0)</f>
        <v>13.74</v>
      </c>
      <c r="MR48" s="27">
        <f>VLOOKUP(B48,[1]Sheet1!$A:$N,11,0)</f>
        <v>13.82</v>
      </c>
      <c r="MS48" s="27">
        <f>VLOOKUP(B48,[1]Sheet1!$A:$N,12,0)</f>
        <v>13.48</v>
      </c>
      <c r="MT48" s="27">
        <f>VLOOKUP(B48,[1]Sheet1!$A:$N,13,0)</f>
        <v>15.55</v>
      </c>
      <c r="MU48" s="27">
        <f>VLOOKUP(B48,[1]Sheet1!$A:$N,14,0)</f>
        <v>13.719999999999999</v>
      </c>
    </row>
    <row r="49" spans="1:359" s="27" customFormat="1" ht="18.75" customHeight="1" x14ac:dyDescent="0.25">
      <c r="A49" s="8" t="s">
        <v>0</v>
      </c>
      <c r="B49" s="8">
        <v>30389</v>
      </c>
      <c r="C49" s="9" t="s">
        <v>20</v>
      </c>
      <c r="D49" s="10" t="s">
        <v>21</v>
      </c>
      <c r="E49" s="10" t="s">
        <v>92</v>
      </c>
      <c r="F49" s="28" t="s">
        <v>4</v>
      </c>
      <c r="G49" s="39" t="s">
        <v>9</v>
      </c>
      <c r="H49" s="41">
        <v>15</v>
      </c>
      <c r="I49" s="33" t="s">
        <v>2</v>
      </c>
      <c r="J49" s="14">
        <v>16</v>
      </c>
      <c r="K49" s="34">
        <v>16.029093</v>
      </c>
      <c r="L49" s="34">
        <v>80.949665999999993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26">
        <v>1.42</v>
      </c>
      <c r="KL49" s="8">
        <v>1.0099999999999998</v>
      </c>
      <c r="KM49" s="26">
        <v>1.85</v>
      </c>
      <c r="KN49" s="18">
        <v>2.48</v>
      </c>
      <c r="KO49" s="18">
        <v>2.5100000000000002</v>
      </c>
      <c r="KP49" s="18">
        <v>3.7600000000000002</v>
      </c>
      <c r="KQ49" s="8">
        <v>4.7699999999999996</v>
      </c>
      <c r="KR49" s="8">
        <v>4.6999999999999993</v>
      </c>
      <c r="KS49" s="18">
        <v>4.8</v>
      </c>
      <c r="KT49" s="8">
        <v>4.5199999999999996</v>
      </c>
      <c r="KU49" s="26">
        <v>5.3</v>
      </c>
      <c r="KV49" s="8">
        <v>4.34</v>
      </c>
      <c r="KW49" s="35">
        <v>3.97</v>
      </c>
      <c r="KX49" s="17">
        <v>3.7900000000000005</v>
      </c>
      <c r="KY49" s="8">
        <v>2.02</v>
      </c>
      <c r="KZ49" s="17">
        <v>2.56</v>
      </c>
      <c r="LA49" s="17">
        <v>2.74</v>
      </c>
      <c r="LB49" s="17">
        <v>2.79</v>
      </c>
      <c r="LC49" s="17">
        <v>3.19</v>
      </c>
      <c r="LD49" s="17">
        <v>5.6099999999999994</v>
      </c>
      <c r="LE49" s="17">
        <v>4.93</v>
      </c>
      <c r="LF49" s="17">
        <v>5</v>
      </c>
      <c r="LG49" s="18">
        <v>4.0999999999999996</v>
      </c>
      <c r="LH49" s="18">
        <v>4.1199999999999992</v>
      </c>
      <c r="LI49" s="18">
        <v>3.48</v>
      </c>
      <c r="LJ49" s="18">
        <v>1.96</v>
      </c>
      <c r="LK49" s="18">
        <v>2.46</v>
      </c>
      <c r="LL49" s="18">
        <v>2.41</v>
      </c>
      <c r="LM49" s="18">
        <v>3.6999999999999997</v>
      </c>
      <c r="LN49" s="18">
        <v>4.42</v>
      </c>
      <c r="LO49" s="18">
        <v>3.8800000000000003</v>
      </c>
      <c r="LP49" s="18">
        <v>4.29</v>
      </c>
      <c r="LQ49" s="18">
        <v>4.3899999999999997</v>
      </c>
      <c r="LR49" s="18">
        <v>4.7699999999999996</v>
      </c>
      <c r="LS49" s="18">
        <v>4.34</v>
      </c>
      <c r="LT49" s="18">
        <v>4.22</v>
      </c>
      <c r="LU49" s="18">
        <v>3.6999999999999997</v>
      </c>
      <c r="LV49" s="17">
        <v>4.1099999999999994</v>
      </c>
      <c r="LW49" s="17">
        <v>4.21</v>
      </c>
      <c r="LX49" s="17">
        <v>3.4</v>
      </c>
      <c r="LY49" s="17">
        <v>4.25</v>
      </c>
      <c r="LZ49" s="17">
        <v>4.95</v>
      </c>
      <c r="MA49" s="17">
        <v>4.96</v>
      </c>
      <c r="MB49" s="17">
        <v>5.28</v>
      </c>
      <c r="MC49" s="17">
        <v>5.1800000000000006</v>
      </c>
      <c r="MD49" s="17">
        <v>5.38</v>
      </c>
      <c r="ME49" s="17">
        <v>4.7600000000000007</v>
      </c>
      <c r="MF49" s="17">
        <v>4.5500000000000007</v>
      </c>
      <c r="MG49" s="17">
        <v>1.7399999999999998</v>
      </c>
      <c r="MH49" s="17">
        <v>1.7399999999999998</v>
      </c>
      <c r="MI49" s="17">
        <v>2.46</v>
      </c>
      <c r="MJ49" s="17">
        <v>3.2099999999999995</v>
      </c>
      <c r="MK49" s="17">
        <v>3.85</v>
      </c>
      <c r="ML49" s="17">
        <v>4.3500000000000005</v>
      </c>
      <c r="MM49" s="27">
        <v>4.9000000000000004</v>
      </c>
      <c r="MN49" s="27">
        <f>VLOOKUP(B49,[1]Sheet1!$A:$N,7,0)</f>
        <v>5.52</v>
      </c>
      <c r="MO49" s="27">
        <f>VLOOKUP(B49,[1]Sheet1!$A:$N,8,0)</f>
        <v>4.5500000000000007</v>
      </c>
      <c r="MP49" s="27">
        <f>VLOOKUP(B49,[1]Sheet1!$A:$N,9,0)</f>
        <v>4.68</v>
      </c>
      <c r="MQ49" s="27">
        <f>VLOOKUP(B49,[1]Sheet1!$A:$N,10,0)</f>
        <v>5.08</v>
      </c>
      <c r="MR49" s="27">
        <f>VLOOKUP(B49,[1]Sheet1!$A:$N,11,0)</f>
        <v>3.61</v>
      </c>
      <c r="MS49" s="27">
        <f>VLOOKUP(B49,[1]Sheet1!$A:$N,12,0)</f>
        <v>3.57</v>
      </c>
      <c r="MT49" s="27">
        <f>VLOOKUP(B49,[1]Sheet1!$A:$N,13,0)</f>
        <v>1.79</v>
      </c>
      <c r="MU49" s="27">
        <f>VLOOKUP(B49,[1]Sheet1!$A:$N,14,0)</f>
        <v>2.19</v>
      </c>
    </row>
    <row r="50" spans="1:359" s="27" customFormat="1" ht="18.75" customHeight="1" x14ac:dyDescent="0.25">
      <c r="A50" s="18" t="s">
        <v>8</v>
      </c>
      <c r="B50" s="18">
        <v>30395</v>
      </c>
      <c r="C50" s="10" t="s">
        <v>20</v>
      </c>
      <c r="D50" s="10" t="s">
        <v>29</v>
      </c>
      <c r="E50" s="10" t="s">
        <v>29</v>
      </c>
      <c r="F50" s="11" t="s">
        <v>30</v>
      </c>
      <c r="G50" s="11"/>
      <c r="H50" s="41">
        <v>8</v>
      </c>
      <c r="I50" s="13" t="s">
        <v>2</v>
      </c>
      <c r="J50" s="28">
        <v>3.97</v>
      </c>
      <c r="K50" s="15">
        <v>16.009083</v>
      </c>
      <c r="L50" s="15">
        <v>81.034392999999994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29">
        <v>0.42</v>
      </c>
      <c r="EP50" s="29">
        <v>0.59</v>
      </c>
      <c r="EQ50" s="29">
        <v>0.6</v>
      </c>
      <c r="ER50" s="29">
        <v>0.67</v>
      </c>
      <c r="ES50" s="29">
        <v>1.07</v>
      </c>
      <c r="ET50" s="29">
        <v>1.06</v>
      </c>
      <c r="EU50" s="29">
        <v>1.0900000000000001</v>
      </c>
      <c r="EV50" s="29">
        <v>0.3</v>
      </c>
      <c r="EW50" s="29">
        <v>0.44</v>
      </c>
      <c r="EX50" s="29">
        <v>0.6</v>
      </c>
      <c r="EY50" s="29">
        <v>0.54</v>
      </c>
      <c r="EZ50" s="29">
        <v>0.57999999999999996</v>
      </c>
      <c r="FA50" s="29">
        <v>0.1</v>
      </c>
      <c r="FB50" s="29">
        <v>0.7</v>
      </c>
      <c r="FC50" s="29">
        <v>0.95</v>
      </c>
      <c r="FD50" s="29">
        <v>1</v>
      </c>
      <c r="FE50" s="29">
        <v>0.95</v>
      </c>
      <c r="FF50" s="29">
        <v>1</v>
      </c>
      <c r="FG50" s="29">
        <v>1.59</v>
      </c>
      <c r="FH50" s="29">
        <v>0.91</v>
      </c>
      <c r="FI50" s="29">
        <v>0.94</v>
      </c>
      <c r="FJ50" s="29">
        <v>0.71</v>
      </c>
      <c r="FK50" s="29">
        <v>0.64</v>
      </c>
      <c r="FL50" s="29">
        <v>0.69</v>
      </c>
      <c r="FM50" s="29">
        <v>0.74</v>
      </c>
      <c r="FN50" s="29">
        <v>0.72</v>
      </c>
      <c r="FO50" s="29">
        <v>1.1499999999999999</v>
      </c>
      <c r="FP50" s="29">
        <v>0.88</v>
      </c>
      <c r="FQ50" s="29">
        <v>1.1000000000000001</v>
      </c>
      <c r="FR50" s="29">
        <v>0.68</v>
      </c>
      <c r="FS50" s="29">
        <v>0.21</v>
      </c>
      <c r="FT50" s="29">
        <v>0.05</v>
      </c>
      <c r="FU50" s="29">
        <v>0.05</v>
      </c>
      <c r="FV50" s="29">
        <v>0.19</v>
      </c>
      <c r="FW50" s="29">
        <v>0.26</v>
      </c>
      <c r="FX50" s="29">
        <v>0.45</v>
      </c>
      <c r="FY50" s="29">
        <v>0.71</v>
      </c>
      <c r="FZ50" s="29">
        <v>0.89</v>
      </c>
      <c r="GA50" s="29">
        <v>1.19</v>
      </c>
      <c r="GB50" s="29">
        <v>1.49</v>
      </c>
      <c r="GC50" s="29">
        <v>1.69</v>
      </c>
      <c r="GD50" s="29">
        <v>1.69</v>
      </c>
      <c r="GE50" s="29">
        <v>1.59</v>
      </c>
      <c r="GF50" s="29">
        <v>1.27</v>
      </c>
      <c r="GG50" s="29">
        <v>1.01</v>
      </c>
      <c r="GH50" s="29">
        <v>0.76</v>
      </c>
      <c r="GI50" s="29">
        <v>0.99</v>
      </c>
      <c r="GJ50" s="29">
        <v>0.84</v>
      </c>
      <c r="GK50" s="29">
        <v>0.59</v>
      </c>
      <c r="GL50" s="29">
        <v>1.0900000000000001</v>
      </c>
      <c r="GM50" s="29">
        <v>1.44</v>
      </c>
      <c r="GN50" s="29">
        <v>1.46</v>
      </c>
      <c r="GO50" s="29">
        <v>1.54</v>
      </c>
      <c r="GP50" s="29">
        <v>1.79</v>
      </c>
      <c r="GQ50" s="29">
        <v>1.74</v>
      </c>
      <c r="GR50" s="29">
        <v>1.54</v>
      </c>
      <c r="GS50" s="29">
        <v>1.0900000000000001</v>
      </c>
      <c r="GT50" s="29">
        <v>0.28999999999999998</v>
      </c>
      <c r="GU50" s="29">
        <v>0.34</v>
      </c>
      <c r="GV50" s="29">
        <v>0.67</v>
      </c>
      <c r="GW50" s="29">
        <v>0.8</v>
      </c>
      <c r="GX50" s="29">
        <v>1.02</v>
      </c>
      <c r="GY50" s="29">
        <v>1.23</v>
      </c>
      <c r="GZ50" s="29">
        <v>1.5</v>
      </c>
      <c r="HA50" s="29">
        <v>1.75</v>
      </c>
      <c r="HB50" s="29">
        <v>0.71</v>
      </c>
      <c r="HC50" s="29">
        <v>1.75</v>
      </c>
      <c r="HD50" s="29">
        <v>0.72</v>
      </c>
      <c r="HE50" s="29">
        <v>0.45</v>
      </c>
      <c r="HF50" s="29">
        <v>0.03</v>
      </c>
      <c r="HG50" s="29">
        <v>0.34</v>
      </c>
      <c r="HH50" s="29">
        <v>0.59</v>
      </c>
      <c r="HI50" s="29">
        <v>0.69</v>
      </c>
      <c r="HJ50" s="29">
        <v>0.72</v>
      </c>
      <c r="HK50" s="29">
        <v>0.74</v>
      </c>
      <c r="HL50" s="29">
        <v>0.8</v>
      </c>
      <c r="HM50" s="29">
        <v>1.1499999999999999</v>
      </c>
      <c r="HN50" s="29">
        <v>1.41</v>
      </c>
      <c r="HO50" s="29">
        <v>1.53</v>
      </c>
      <c r="HP50" s="29">
        <v>1.32</v>
      </c>
      <c r="HQ50" s="29">
        <v>1.1000000000000001</v>
      </c>
      <c r="HR50" s="29">
        <v>0.4</v>
      </c>
      <c r="HS50" s="29">
        <v>0.35</v>
      </c>
      <c r="HT50" s="29">
        <v>0.7</v>
      </c>
      <c r="HU50" s="29">
        <v>0.8</v>
      </c>
      <c r="HV50" s="29">
        <v>0.96</v>
      </c>
      <c r="HW50" s="29">
        <v>1.1499999999999999</v>
      </c>
      <c r="HX50" s="29">
        <v>1.38</v>
      </c>
      <c r="HY50" s="29">
        <v>1.45</v>
      </c>
      <c r="HZ50" s="29">
        <v>0.6</v>
      </c>
      <c r="IA50" s="29">
        <v>1.1200000000000001</v>
      </c>
      <c r="IB50" s="29">
        <v>0.89</v>
      </c>
      <c r="IC50" s="29">
        <v>0.5</v>
      </c>
      <c r="ID50" s="29">
        <v>0.99</v>
      </c>
      <c r="IE50" s="29">
        <v>0.93</v>
      </c>
      <c r="IF50" s="29">
        <v>0.96</v>
      </c>
      <c r="IG50" s="29">
        <v>1.27</v>
      </c>
      <c r="IH50" s="29">
        <v>1.54</v>
      </c>
      <c r="II50" s="29">
        <v>1.63</v>
      </c>
      <c r="IJ50" s="29">
        <v>1.9</v>
      </c>
      <c r="IK50" s="29">
        <v>2.0499999999999998</v>
      </c>
      <c r="IL50" s="29">
        <v>1.37</v>
      </c>
      <c r="IM50" s="29">
        <v>1.44</v>
      </c>
      <c r="IN50" s="29">
        <v>0.04</v>
      </c>
      <c r="IO50" s="29">
        <v>1.07</v>
      </c>
      <c r="IP50" s="29">
        <v>0.68</v>
      </c>
      <c r="IQ50" s="29">
        <v>0.88</v>
      </c>
      <c r="IR50" s="29">
        <v>0.75</v>
      </c>
      <c r="IS50" s="29">
        <v>0.9</v>
      </c>
      <c r="IT50" s="29">
        <v>1.1499999999999999</v>
      </c>
      <c r="IU50" s="29">
        <v>1.37</v>
      </c>
      <c r="IV50" s="29">
        <v>1.57</v>
      </c>
      <c r="IW50" s="18">
        <v>1.6</v>
      </c>
      <c r="IX50" s="18">
        <v>1.59</v>
      </c>
      <c r="IY50" s="18">
        <v>1.42</v>
      </c>
      <c r="IZ50" s="19">
        <v>1.28</v>
      </c>
      <c r="JA50" s="20">
        <v>0.75</v>
      </c>
      <c r="JB50" s="20">
        <v>0.63</v>
      </c>
      <c r="JC50" s="20">
        <v>0.75</v>
      </c>
      <c r="JD50" s="20">
        <v>0.87</v>
      </c>
      <c r="JE50" s="20">
        <v>1.06</v>
      </c>
      <c r="JF50" s="21">
        <v>1.26</v>
      </c>
      <c r="JG50" s="22">
        <v>1.43</v>
      </c>
      <c r="JH50" s="22">
        <v>1.58</v>
      </c>
      <c r="JI50" s="20">
        <v>1.78</v>
      </c>
      <c r="JJ50" s="23">
        <v>1.83</v>
      </c>
      <c r="JK50" s="24">
        <v>1.44</v>
      </c>
      <c r="JL50" s="24">
        <v>0.84</v>
      </c>
      <c r="JM50" s="25">
        <v>0.89</v>
      </c>
      <c r="JN50" s="25">
        <v>0.95</v>
      </c>
      <c r="JO50" s="17">
        <v>0.99</v>
      </c>
      <c r="JP50" s="17">
        <v>0.76</v>
      </c>
      <c r="JQ50" s="25">
        <v>1</v>
      </c>
      <c r="JR50" s="25">
        <v>1.22</v>
      </c>
      <c r="JS50" s="25">
        <v>1.45</v>
      </c>
      <c r="JT50" s="25">
        <v>1.53</v>
      </c>
      <c r="JU50" s="17">
        <v>1.83</v>
      </c>
      <c r="JV50" s="18">
        <v>2.0499999999999998</v>
      </c>
      <c r="JW50" s="18">
        <v>1.29</v>
      </c>
      <c r="JX50" s="18">
        <v>1.06</v>
      </c>
      <c r="JY50" s="18">
        <v>0.54</v>
      </c>
      <c r="JZ50" s="18">
        <v>0.5</v>
      </c>
      <c r="KA50" s="18">
        <v>0.47</v>
      </c>
      <c r="KB50" s="18">
        <v>1.1000000000000001</v>
      </c>
      <c r="KC50" s="18">
        <v>0.91</v>
      </c>
      <c r="KD50" s="18">
        <v>1.08</v>
      </c>
      <c r="KE50" s="18"/>
      <c r="KF50" s="2"/>
      <c r="KG50" s="26">
        <v>1.1399999999999999</v>
      </c>
      <c r="KH50" s="26">
        <v>1.74</v>
      </c>
      <c r="KI50" s="26">
        <v>1.4</v>
      </c>
      <c r="KJ50" s="26">
        <v>0.57999999999999996</v>
      </c>
      <c r="KK50" s="26">
        <v>0.43</v>
      </c>
      <c r="KL50" s="18">
        <v>0.16999999999999993</v>
      </c>
      <c r="KM50" s="26">
        <v>0.22999999999999998</v>
      </c>
      <c r="KN50" s="18">
        <v>0.52999999999999992</v>
      </c>
      <c r="KO50" s="18">
        <v>0.70999999999999985</v>
      </c>
      <c r="KP50" s="18">
        <v>0.85</v>
      </c>
      <c r="KQ50" s="18">
        <v>1.0099999999999998</v>
      </c>
      <c r="KR50" s="18">
        <v>0.96999999999999986</v>
      </c>
      <c r="KS50" s="18">
        <v>1.0299999999999998</v>
      </c>
      <c r="KT50" s="18">
        <v>1.17</v>
      </c>
      <c r="KU50" s="26">
        <v>0.63</v>
      </c>
      <c r="KV50" s="18">
        <v>0.47999999999999987</v>
      </c>
      <c r="KW50" s="17">
        <v>0.16999999999999993</v>
      </c>
      <c r="KX50" s="17">
        <v>0.21999999999999997</v>
      </c>
      <c r="KY50" s="18">
        <v>2.9999999999999916E-2</v>
      </c>
      <c r="KZ50" s="17">
        <v>0.12</v>
      </c>
      <c r="LA50" s="17">
        <v>0.32999999999999996</v>
      </c>
      <c r="LB50" s="17">
        <v>0.45000000000000007</v>
      </c>
      <c r="LC50" s="17">
        <v>0.57999999999999996</v>
      </c>
      <c r="LD50" s="17">
        <v>1.9100000000000001</v>
      </c>
      <c r="LE50" s="17">
        <v>1.1299999999999999</v>
      </c>
      <c r="LF50" s="17">
        <v>1.1400000000000001</v>
      </c>
      <c r="LG50" s="18">
        <v>0.47000000000000008</v>
      </c>
      <c r="LH50" s="18">
        <v>0.52999999999999992</v>
      </c>
      <c r="LI50" s="18">
        <v>1.6100000000000003</v>
      </c>
      <c r="LJ50" s="18">
        <v>0.63</v>
      </c>
      <c r="LK50" s="18">
        <v>0.86</v>
      </c>
      <c r="LL50" s="18">
        <v>0.93</v>
      </c>
      <c r="LM50" s="18">
        <v>1.02</v>
      </c>
      <c r="LN50" s="18">
        <v>1.27</v>
      </c>
      <c r="LO50" s="18">
        <v>1.2199999999999998</v>
      </c>
      <c r="LP50" s="18">
        <v>1.1200000000000001</v>
      </c>
      <c r="LQ50" s="18">
        <v>1.33</v>
      </c>
      <c r="LR50" s="18">
        <v>1.5700000000000003</v>
      </c>
      <c r="LS50" s="18">
        <v>0.9</v>
      </c>
      <c r="LT50" s="18">
        <v>1.0499999999999998</v>
      </c>
      <c r="LU50" s="18">
        <v>0.73999999999999988</v>
      </c>
      <c r="LV50" s="17">
        <v>0.91</v>
      </c>
      <c r="LW50" s="17">
        <v>0.57999999999999996</v>
      </c>
      <c r="LX50" s="17">
        <v>0.46999999999999986</v>
      </c>
      <c r="LY50" s="17">
        <v>0.87</v>
      </c>
      <c r="LZ50" s="17">
        <v>1.02</v>
      </c>
      <c r="MA50" s="17">
        <v>1.37</v>
      </c>
      <c r="MB50" s="17">
        <v>1.5100000000000002</v>
      </c>
      <c r="MC50" s="17">
        <v>1.7800000000000002</v>
      </c>
      <c r="MD50" s="17">
        <v>1.79</v>
      </c>
      <c r="ME50" s="17">
        <v>1.0499999999999998</v>
      </c>
      <c r="MF50" s="17">
        <v>1.1499999999999999</v>
      </c>
      <c r="MG50" s="17">
        <v>0.22999999999999998</v>
      </c>
      <c r="MH50" s="17">
        <v>0.25</v>
      </c>
      <c r="MI50" s="17">
        <v>0.43000000000000005</v>
      </c>
      <c r="MJ50" s="17">
        <v>0.72999999999999987</v>
      </c>
      <c r="MK50" s="17">
        <v>0.83</v>
      </c>
      <c r="ML50" s="17">
        <v>0.93</v>
      </c>
      <c r="MM50" s="27">
        <v>5.64</v>
      </c>
      <c r="MN50" s="27">
        <f>VLOOKUP(B50,[1]Sheet1!$A:$N,7,0)</f>
        <v>8.8699999999999992</v>
      </c>
      <c r="MO50" s="27">
        <f>VLOOKUP(B50,[1]Sheet1!$A:$N,8,0)</f>
        <v>4.09</v>
      </c>
      <c r="MP50" s="27">
        <f>VLOOKUP(B50,[1]Sheet1!$A:$N,9,0)</f>
        <v>0.89</v>
      </c>
      <c r="MQ50" s="27">
        <f>VLOOKUP(B50,[1]Sheet1!$A:$N,10,0)</f>
        <v>6.8</v>
      </c>
      <c r="MR50" s="27">
        <f>VLOOKUP(B50,[1]Sheet1!$A:$N,11,0)</f>
        <v>3.67</v>
      </c>
      <c r="MS50" s="27">
        <f>VLOOKUP(B50,[1]Sheet1!$A:$N,12,0)</f>
        <v>1.6</v>
      </c>
      <c r="MT50" s="27">
        <f>VLOOKUP(B50,[1]Sheet1!$A:$N,13,0)</f>
        <v>1.04</v>
      </c>
      <c r="MU50" s="27">
        <f>VLOOKUP(B50,[1]Sheet1!$A:$N,14,0)</f>
        <v>1.71</v>
      </c>
    </row>
    <row r="51" spans="1:359" s="27" customFormat="1" ht="18.75" customHeight="1" x14ac:dyDescent="0.25">
      <c r="A51" s="8" t="s">
        <v>0</v>
      </c>
      <c r="B51" s="8">
        <v>30403</v>
      </c>
      <c r="C51" s="9" t="s">
        <v>20</v>
      </c>
      <c r="D51" s="10" t="s">
        <v>71</v>
      </c>
      <c r="E51" s="10" t="s">
        <v>93</v>
      </c>
      <c r="F51" s="10" t="s">
        <v>91</v>
      </c>
      <c r="G51" s="39" t="s">
        <v>9</v>
      </c>
      <c r="H51" s="41">
        <v>30</v>
      </c>
      <c r="I51" s="33" t="s">
        <v>2</v>
      </c>
      <c r="J51" s="28">
        <v>18</v>
      </c>
      <c r="K51" s="34">
        <v>16.466574999999999</v>
      </c>
      <c r="L51" s="34">
        <v>80.946278000000007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36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17"/>
      <c r="LC51" s="8"/>
      <c r="LD51" s="8"/>
      <c r="LE51" s="17">
        <v>8.9499999999999993</v>
      </c>
      <c r="LF51" s="17">
        <v>9.25</v>
      </c>
      <c r="LG51" s="8">
        <v>8.35</v>
      </c>
      <c r="LH51" s="18">
        <v>8.98</v>
      </c>
      <c r="LI51" s="18">
        <v>8.629999999999999</v>
      </c>
      <c r="LJ51" s="18">
        <v>7.98</v>
      </c>
      <c r="LK51" s="18">
        <v>7.7999999999999989</v>
      </c>
      <c r="LL51" s="18">
        <v>7.9699999999999989</v>
      </c>
      <c r="LM51" s="18">
        <v>8.31</v>
      </c>
      <c r="LN51" s="18">
        <v>8.48</v>
      </c>
      <c r="LO51" s="18">
        <v>8.68</v>
      </c>
      <c r="LP51" s="18">
        <v>8.75</v>
      </c>
      <c r="LQ51" s="18">
        <v>8.2999999999999989</v>
      </c>
      <c r="LR51" s="18">
        <v>8.9699999999999989</v>
      </c>
      <c r="LS51" s="18">
        <v>8.39</v>
      </c>
      <c r="LT51" s="18">
        <v>8.879999999999999</v>
      </c>
      <c r="LU51" s="18">
        <v>7.75</v>
      </c>
      <c r="LV51" s="17">
        <v>8.01</v>
      </c>
      <c r="LW51" s="17">
        <v>7.85</v>
      </c>
      <c r="LX51" s="17">
        <v>7.65</v>
      </c>
      <c r="LY51" s="17">
        <v>8.81</v>
      </c>
      <c r="LZ51" s="17">
        <v>9.19</v>
      </c>
      <c r="MA51" s="17">
        <v>9.5399999999999991</v>
      </c>
      <c r="MB51" s="17">
        <v>10.050000000000001</v>
      </c>
      <c r="MC51" s="17">
        <v>10.11</v>
      </c>
      <c r="MD51" s="17">
        <v>10.52</v>
      </c>
      <c r="ME51" s="17">
        <v>11.18</v>
      </c>
      <c r="MF51" s="17">
        <v>11.14</v>
      </c>
      <c r="MG51" s="17">
        <v>9.43</v>
      </c>
      <c r="MH51" s="17">
        <v>8.81</v>
      </c>
      <c r="MI51" s="17">
        <v>8.83</v>
      </c>
      <c r="MJ51" s="17">
        <v>9.3000000000000007</v>
      </c>
      <c r="MK51" s="17">
        <v>9.0400000000000009</v>
      </c>
      <c r="ML51" s="17">
        <v>9.0299999999999994</v>
      </c>
      <c r="MM51" s="27">
        <v>9.61</v>
      </c>
      <c r="MN51" s="27">
        <f>VLOOKUP(B51,[1]Sheet1!$A:$N,7,0)</f>
        <v>9.9600000000000009</v>
      </c>
      <c r="MO51" s="27">
        <f>VLOOKUP(B51,[1]Sheet1!$A:$N,8,0)</f>
        <v>11.14</v>
      </c>
      <c r="MP51" s="27">
        <f>VLOOKUP(B51,[1]Sheet1!$A:$N,9,0)</f>
        <v>10.06</v>
      </c>
      <c r="MQ51" s="27">
        <f>VLOOKUP(B51,[1]Sheet1!$A:$N,10,0)</f>
        <v>10.46</v>
      </c>
      <c r="MR51" s="27">
        <f>VLOOKUP(B51,[1]Sheet1!$A:$N,11,0)</f>
        <v>10.09</v>
      </c>
      <c r="MS51" s="27">
        <f>VLOOKUP(B51,[1]Sheet1!$A:$N,12,0)</f>
        <v>9.51</v>
      </c>
      <c r="MT51" s="27">
        <f>VLOOKUP(B51,[1]Sheet1!$A:$N,13,0)</f>
        <v>9.02</v>
      </c>
      <c r="MU51" s="27">
        <f>VLOOKUP(B51,[1]Sheet1!$A:$N,14,0)</f>
        <v>9.76</v>
      </c>
    </row>
    <row r="52" spans="1:359" s="27" customFormat="1" ht="18.75" customHeight="1" x14ac:dyDescent="0.25">
      <c r="A52" s="8" t="s">
        <v>0</v>
      </c>
      <c r="B52" s="8">
        <v>30404</v>
      </c>
      <c r="C52" s="9" t="s">
        <v>20</v>
      </c>
      <c r="D52" s="10" t="s">
        <v>71</v>
      </c>
      <c r="E52" s="10" t="s">
        <v>94</v>
      </c>
      <c r="F52" s="10" t="s">
        <v>91</v>
      </c>
      <c r="G52" s="39" t="s">
        <v>9</v>
      </c>
      <c r="H52" s="41">
        <v>70</v>
      </c>
      <c r="I52" s="33" t="s">
        <v>2</v>
      </c>
      <c r="J52" s="28">
        <v>18</v>
      </c>
      <c r="K52" s="34">
        <v>16.466518000000001</v>
      </c>
      <c r="L52" s="34">
        <v>80.946262000000004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17">
        <v>8.94</v>
      </c>
      <c r="LF52" s="17">
        <v>9.2199999999999989</v>
      </c>
      <c r="LG52" s="8">
        <v>8.32</v>
      </c>
      <c r="LH52" s="18">
        <v>8.82</v>
      </c>
      <c r="LI52" s="18">
        <v>8.3000000000000007</v>
      </c>
      <c r="LJ52" s="18">
        <v>7.92</v>
      </c>
      <c r="LK52" s="18">
        <v>7.8900000000000006</v>
      </c>
      <c r="LL52" s="18">
        <v>7.9399999999999995</v>
      </c>
      <c r="LM52" s="18">
        <v>8.18</v>
      </c>
      <c r="LN52" s="18">
        <v>8.23</v>
      </c>
      <c r="LO52" s="18">
        <v>8.6</v>
      </c>
      <c r="LP52" s="18">
        <v>8.59</v>
      </c>
      <c r="LQ52" s="18">
        <v>8.2100000000000009</v>
      </c>
      <c r="LR52" s="18">
        <v>8.73</v>
      </c>
      <c r="LS52" s="18">
        <v>6.83</v>
      </c>
      <c r="LT52" s="18">
        <v>7.4399999999999995</v>
      </c>
      <c r="LU52" s="18">
        <v>6.32</v>
      </c>
      <c r="LV52" s="17">
        <v>7.1000000000000005</v>
      </c>
      <c r="LW52" s="17">
        <v>6.5399999999999991</v>
      </c>
      <c r="LX52" s="17">
        <v>6.95</v>
      </c>
      <c r="LY52" s="17">
        <v>8.4699999999999989</v>
      </c>
      <c r="LZ52" s="17">
        <v>8.94</v>
      </c>
      <c r="MA52" s="17">
        <v>8.76</v>
      </c>
      <c r="MB52" s="17">
        <v>9.2999999999999989</v>
      </c>
      <c r="MC52" s="17">
        <v>9.2799999999999994</v>
      </c>
      <c r="MD52" s="17">
        <v>9.74</v>
      </c>
      <c r="ME52" s="17">
        <v>9.6199999999999992</v>
      </c>
      <c r="MF52" s="17">
        <v>10.52</v>
      </c>
      <c r="MG52" s="17">
        <v>8.9699999999999989</v>
      </c>
      <c r="MH52" s="17">
        <v>8.6199999999999992</v>
      </c>
      <c r="MI52" s="17">
        <v>8.02</v>
      </c>
      <c r="MJ52" s="17">
        <v>7.9499999999999993</v>
      </c>
      <c r="MK52" s="17">
        <v>8.07</v>
      </c>
      <c r="ML52" s="17">
        <v>8.1199999999999992</v>
      </c>
      <c r="MM52" s="27">
        <v>8.4600000000000009</v>
      </c>
      <c r="MN52" s="27">
        <f>VLOOKUP(B52,[1]Sheet1!$A:$N,7,0)</f>
        <v>8.89</v>
      </c>
      <c r="MO52" s="27">
        <f>VLOOKUP(B52,[1]Sheet1!$A:$N,8,0)</f>
        <v>10.52</v>
      </c>
      <c r="MP52" s="27">
        <f>VLOOKUP(B52,[1]Sheet1!$A:$N,9,0)</f>
        <v>9.2200000000000006</v>
      </c>
      <c r="MQ52" s="27">
        <f>VLOOKUP(B52,[1]Sheet1!$A:$N,10,0)</f>
        <v>9.52</v>
      </c>
      <c r="MR52" s="27">
        <f>VLOOKUP(B52,[1]Sheet1!$A:$N,11,0)</f>
        <v>9.27</v>
      </c>
      <c r="MS52" s="27">
        <f>VLOOKUP(B52,[1]Sheet1!$A:$N,12,0)</f>
        <v>8.52</v>
      </c>
      <c r="MT52" s="27">
        <f>VLOOKUP(B52,[1]Sheet1!$A:$N,13,0)</f>
        <v>8.44</v>
      </c>
      <c r="MU52" s="27">
        <f>VLOOKUP(B52,[1]Sheet1!$A:$N,14,0)</f>
        <v>9.2899999999999991</v>
      </c>
    </row>
    <row r="53" spans="1:359" s="27" customFormat="1" ht="18.75" customHeight="1" x14ac:dyDescent="0.25">
      <c r="A53" s="8" t="s">
        <v>0</v>
      </c>
      <c r="B53" s="8">
        <v>30405</v>
      </c>
      <c r="C53" s="9" t="s">
        <v>20</v>
      </c>
      <c r="D53" s="10" t="s">
        <v>41</v>
      </c>
      <c r="E53" s="10" t="s">
        <v>95</v>
      </c>
      <c r="F53" s="10" t="s">
        <v>91</v>
      </c>
      <c r="G53" s="39" t="s">
        <v>9</v>
      </c>
      <c r="H53" s="41">
        <v>30</v>
      </c>
      <c r="I53" s="33" t="s">
        <v>2</v>
      </c>
      <c r="J53" s="28">
        <v>18</v>
      </c>
      <c r="K53" s="34">
        <v>16.277225000000001</v>
      </c>
      <c r="L53" s="34">
        <v>80.848444000000001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17">
        <v>4.78</v>
      </c>
      <c r="LF53" s="17">
        <v>5</v>
      </c>
      <c r="LG53" s="18">
        <v>4.0999999999999996</v>
      </c>
      <c r="LH53" s="18">
        <v>1.0699999999999998</v>
      </c>
      <c r="LI53" s="18">
        <v>1.1200000000000001</v>
      </c>
      <c r="LJ53" s="18">
        <v>0.93</v>
      </c>
      <c r="LK53" s="18">
        <v>1.6600000000000001</v>
      </c>
      <c r="LL53" s="18">
        <v>2.36</v>
      </c>
      <c r="LM53" s="18">
        <v>3.6</v>
      </c>
      <c r="LN53" s="18">
        <v>3.89</v>
      </c>
      <c r="LO53" s="18">
        <v>4.1399999999999997</v>
      </c>
      <c r="LP53" s="18">
        <v>3.64</v>
      </c>
      <c r="LQ53" s="18">
        <v>3.5900000000000003</v>
      </c>
      <c r="LR53" s="18">
        <v>4.0699999999999994</v>
      </c>
      <c r="LS53" s="18">
        <v>1.7999999999999998</v>
      </c>
      <c r="LT53" s="18">
        <v>1.7</v>
      </c>
      <c r="LU53" s="18">
        <v>1.7999999999999998</v>
      </c>
      <c r="LV53" s="17">
        <v>2.14</v>
      </c>
      <c r="LW53" s="17">
        <v>1.71</v>
      </c>
      <c r="LX53" s="17">
        <v>3.08</v>
      </c>
      <c r="LY53" s="17">
        <v>3.91</v>
      </c>
      <c r="LZ53" s="17">
        <v>4.3899999999999997</v>
      </c>
      <c r="MA53" s="17">
        <v>4.71</v>
      </c>
      <c r="MB53" s="17">
        <v>5.13</v>
      </c>
      <c r="MC53" s="17">
        <v>4.84</v>
      </c>
      <c r="MD53" s="17">
        <v>5.1899999999999995</v>
      </c>
      <c r="ME53" s="17">
        <v>4.32</v>
      </c>
      <c r="MF53" s="17">
        <v>2</v>
      </c>
      <c r="MG53" s="17">
        <v>1.63</v>
      </c>
      <c r="MH53" s="17">
        <v>1.48</v>
      </c>
      <c r="MI53" s="17">
        <v>2.4</v>
      </c>
      <c r="MJ53" s="17">
        <v>3.91</v>
      </c>
      <c r="MK53" s="17">
        <v>4.3099999999999996</v>
      </c>
      <c r="ML53" s="17">
        <v>4.49</v>
      </c>
      <c r="MM53" s="27">
        <v>4.82</v>
      </c>
      <c r="MN53" s="27">
        <f>VLOOKUP(B53,[1]Sheet1!$A:$N,7,0)</f>
        <v>4.8</v>
      </c>
      <c r="MO53" s="27">
        <f>VLOOKUP(B53,[1]Sheet1!$A:$N,8,0)</f>
        <v>2</v>
      </c>
      <c r="MP53" s="27">
        <f>VLOOKUP(B53,[1]Sheet1!$A:$N,9,0)</f>
        <v>5.33</v>
      </c>
      <c r="MQ53" s="27">
        <f>VLOOKUP(B53,[1]Sheet1!$A:$N,10,0)</f>
        <v>5.6499999999999995</v>
      </c>
      <c r="MR53" s="27">
        <f>VLOOKUP(B53,[1]Sheet1!$A:$N,11,0)</f>
        <v>1.3199999999999998</v>
      </c>
      <c r="MS53" s="27">
        <f>VLOOKUP(B53,[1]Sheet1!$A:$N,12,0)</f>
        <v>1.25</v>
      </c>
      <c r="MT53" s="27">
        <f>VLOOKUP(B53,[1]Sheet1!$A:$N,13,0)</f>
        <v>1.21</v>
      </c>
      <c r="MU53" s="27">
        <f>VLOOKUP(B53,[1]Sheet1!$A:$N,14,0)</f>
        <v>2.8</v>
      </c>
    </row>
    <row r="54" spans="1:359" s="27" customFormat="1" ht="18.75" customHeight="1" x14ac:dyDescent="0.25">
      <c r="A54" s="8" t="s">
        <v>0</v>
      </c>
      <c r="B54" s="8">
        <v>30406</v>
      </c>
      <c r="C54" s="9" t="s">
        <v>20</v>
      </c>
      <c r="D54" s="10" t="s">
        <v>41</v>
      </c>
      <c r="E54" s="10" t="s">
        <v>96</v>
      </c>
      <c r="F54" s="10" t="s">
        <v>91</v>
      </c>
      <c r="G54" s="39" t="s">
        <v>9</v>
      </c>
      <c r="H54" s="41">
        <v>70</v>
      </c>
      <c r="I54" s="33" t="s">
        <v>2</v>
      </c>
      <c r="J54" s="28">
        <v>18</v>
      </c>
      <c r="K54" s="34">
        <v>16.277191999999999</v>
      </c>
      <c r="L54" s="34">
        <v>80.848423999999994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17">
        <v>8.17</v>
      </c>
      <c r="LF54" s="17">
        <v>8.5</v>
      </c>
      <c r="LG54" s="18">
        <v>7.6</v>
      </c>
      <c r="LH54" s="18">
        <v>5.6</v>
      </c>
      <c r="LI54" s="18">
        <v>5.0299999999999994</v>
      </c>
      <c r="LJ54" s="18">
        <v>4.13</v>
      </c>
      <c r="LK54" s="18">
        <v>5.38</v>
      </c>
      <c r="LL54" s="18">
        <v>5.3699999999999992</v>
      </c>
      <c r="LM54" s="18">
        <v>6.8</v>
      </c>
      <c r="LN54" s="18">
        <v>7.5</v>
      </c>
      <c r="LO54" s="18">
        <v>7.27</v>
      </c>
      <c r="LP54" s="18">
        <v>7.98</v>
      </c>
      <c r="LQ54" s="18">
        <v>7.33</v>
      </c>
      <c r="LR54" s="18">
        <v>8.6199999999999992</v>
      </c>
      <c r="LS54" s="18">
        <v>6.4</v>
      </c>
      <c r="LT54" s="18">
        <v>7.29</v>
      </c>
      <c r="LU54" s="18">
        <v>6.98</v>
      </c>
      <c r="LV54" s="17">
        <v>8.84</v>
      </c>
      <c r="LW54" s="17">
        <v>6.92</v>
      </c>
      <c r="LX54" s="17">
        <v>6.38</v>
      </c>
      <c r="LY54" s="17">
        <v>7.8500000000000005</v>
      </c>
      <c r="LZ54" s="17">
        <v>8.11</v>
      </c>
      <c r="MA54" s="17">
        <v>8.5299999999999994</v>
      </c>
      <c r="MB54" s="17">
        <v>9.0399999999999991</v>
      </c>
      <c r="MC54" s="17">
        <v>8.4899999999999984</v>
      </c>
      <c r="MD54" s="17">
        <v>10.059999999999999</v>
      </c>
      <c r="ME54" s="17">
        <v>9.3099999999999987</v>
      </c>
      <c r="MF54" s="17">
        <v>7.8500000000000005</v>
      </c>
      <c r="MG54" s="17">
        <v>6.29</v>
      </c>
      <c r="MH54" s="17">
        <v>5.56</v>
      </c>
      <c r="MI54" s="17">
        <v>6.21</v>
      </c>
      <c r="MJ54" s="17">
        <v>7.19</v>
      </c>
      <c r="MK54" s="17">
        <v>7.63</v>
      </c>
      <c r="ML54" s="17">
        <v>7.72</v>
      </c>
      <c r="MM54" s="27">
        <v>8.58</v>
      </c>
      <c r="MN54" s="27">
        <f>VLOOKUP(B54,[1]Sheet1!$A:$N,7,0)</f>
        <v>8.36</v>
      </c>
      <c r="MO54" s="27">
        <f>VLOOKUP(B54,[1]Sheet1!$A:$N,8,0)</f>
        <v>7.8500000000000005</v>
      </c>
      <c r="MP54" s="27">
        <f>VLOOKUP(B54,[1]Sheet1!$A:$N,9,0)</f>
        <v>8.74</v>
      </c>
      <c r="MQ54" s="27">
        <f>VLOOKUP(B54,[1]Sheet1!$A:$N,10,0)</f>
        <v>8.93</v>
      </c>
      <c r="MR54" s="27">
        <f>VLOOKUP(B54,[1]Sheet1!$A:$N,11,0)</f>
        <v>5.61</v>
      </c>
      <c r="MS54" s="27">
        <f>VLOOKUP(B54,[1]Sheet1!$A:$N,12,0)</f>
        <v>5.28</v>
      </c>
      <c r="MT54" s="27">
        <f>VLOOKUP(B54,[1]Sheet1!$A:$N,13,0)</f>
        <v>4.45</v>
      </c>
      <c r="MU54" s="27">
        <f>VLOOKUP(B54,[1]Sheet1!$A:$N,14,0)</f>
        <v>5.5200000000000005</v>
      </c>
    </row>
    <row r="55" spans="1:359" s="27" customFormat="1" ht="18.75" customHeight="1" x14ac:dyDescent="0.25">
      <c r="A55" s="8" t="s">
        <v>6</v>
      </c>
      <c r="B55" s="8">
        <v>50019</v>
      </c>
      <c r="C55" s="39" t="s">
        <v>20</v>
      </c>
      <c r="D55" s="39" t="s">
        <v>85</v>
      </c>
      <c r="E55" s="39" t="s">
        <v>97</v>
      </c>
      <c r="F55" s="39" t="s">
        <v>28</v>
      </c>
      <c r="G55" s="39" t="s">
        <v>98</v>
      </c>
      <c r="H55" s="41">
        <v>141.69999999999999</v>
      </c>
      <c r="I55" s="39" t="s">
        <v>7</v>
      </c>
      <c r="J55" s="10"/>
      <c r="K55" s="10"/>
      <c r="L55" s="10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>
        <v>6.8</v>
      </c>
      <c r="IC55" s="1">
        <v>6.85</v>
      </c>
      <c r="ID55" s="1">
        <v>6.99</v>
      </c>
      <c r="IE55" s="1">
        <v>6.86</v>
      </c>
      <c r="IF55" s="1">
        <v>6.7</v>
      </c>
      <c r="IG55" s="1">
        <v>6.98</v>
      </c>
      <c r="IH55" s="1">
        <v>7.73</v>
      </c>
      <c r="II55" s="1">
        <v>8.51</v>
      </c>
      <c r="IJ55" s="1">
        <v>8.9239999999999995</v>
      </c>
      <c r="IK55" s="1">
        <v>8.8800000000000008</v>
      </c>
      <c r="IL55" s="1">
        <v>8.2799999999999994</v>
      </c>
      <c r="IM55" s="1">
        <v>8.3070000000000004</v>
      </c>
      <c r="IN55" s="1">
        <v>8.5500000000000007</v>
      </c>
      <c r="IO55" s="1">
        <v>8.3000000000000007</v>
      </c>
      <c r="IP55" s="1">
        <v>8.2899999999999991</v>
      </c>
      <c r="IQ55" s="1">
        <v>8.359</v>
      </c>
      <c r="IR55" s="1">
        <v>8.3130000000000006</v>
      </c>
      <c r="IS55" s="1">
        <v>8.4930000000000003</v>
      </c>
      <c r="IT55" s="1">
        <v>9.4160000000000004</v>
      </c>
      <c r="IU55" s="1">
        <v>10.592000000000001</v>
      </c>
      <c r="IV55" s="1">
        <v>11.377000000000001</v>
      </c>
      <c r="IW55" s="1">
        <v>12.29</v>
      </c>
      <c r="IX55" s="1">
        <v>11.86</v>
      </c>
      <c r="IY55" s="1">
        <v>11.266999999999999</v>
      </c>
      <c r="IZ55" s="1">
        <v>11.204000000000001</v>
      </c>
      <c r="JA55" s="1">
        <v>10.91</v>
      </c>
      <c r="JB55" s="1">
        <v>10.49</v>
      </c>
      <c r="JC55" s="1">
        <v>10.81</v>
      </c>
      <c r="JD55" s="1">
        <v>11.419</v>
      </c>
      <c r="JE55" s="1">
        <v>11.92</v>
      </c>
      <c r="JF55" s="1">
        <v>13.2</v>
      </c>
      <c r="JG55" s="1">
        <v>14.65</v>
      </c>
      <c r="JH55" s="1">
        <v>14.624000000000001</v>
      </c>
      <c r="JI55" s="1">
        <v>17.09</v>
      </c>
      <c r="JJ55" s="1">
        <v>16.13</v>
      </c>
      <c r="JK55" s="1">
        <v>14.561</v>
      </c>
      <c r="JL55" s="1">
        <v>14.41</v>
      </c>
      <c r="JM55" s="1">
        <v>14.86</v>
      </c>
      <c r="JN55" s="1">
        <v>14.646000000000001</v>
      </c>
      <c r="JO55" s="1">
        <v>15.45</v>
      </c>
      <c r="JP55" s="1">
        <v>15.27</v>
      </c>
      <c r="JQ55" s="1">
        <v>15.21</v>
      </c>
      <c r="JR55" s="1">
        <v>16.55</v>
      </c>
      <c r="JS55" s="1">
        <v>16.815999999999999</v>
      </c>
      <c r="JT55" s="1">
        <v>17.902999999999999</v>
      </c>
      <c r="JU55" s="1">
        <v>20.78</v>
      </c>
      <c r="JV55" s="1">
        <v>19.678000000000001</v>
      </c>
      <c r="JW55" s="1">
        <v>18.84</v>
      </c>
      <c r="JX55" s="1">
        <v>18.16</v>
      </c>
      <c r="JY55" s="1">
        <v>18.399999999999999</v>
      </c>
      <c r="JZ55" s="1">
        <v>17.372</v>
      </c>
      <c r="KA55" s="1">
        <v>17.972999999999999</v>
      </c>
      <c r="KB55" s="1">
        <v>17.954999999999998</v>
      </c>
      <c r="KC55" s="1">
        <v>18.382999999999999</v>
      </c>
      <c r="KD55" s="1">
        <v>19.119</v>
      </c>
      <c r="KE55" s="1">
        <v>18.809000000000001</v>
      </c>
      <c r="KF55" s="1"/>
      <c r="KG55" s="1">
        <v>20.79</v>
      </c>
      <c r="KH55" s="1">
        <v>20.49</v>
      </c>
      <c r="KI55" s="1">
        <v>20.100000000000001</v>
      </c>
      <c r="KJ55" s="1">
        <v>19.14</v>
      </c>
      <c r="KK55" s="1">
        <v>21.58</v>
      </c>
      <c r="KL55" s="1">
        <v>19</v>
      </c>
      <c r="KM55" s="1">
        <v>19.440000000000001</v>
      </c>
      <c r="KN55" s="1">
        <v>19.29</v>
      </c>
      <c r="KO55" s="1">
        <v>19.829999999999998</v>
      </c>
      <c r="KP55" s="1">
        <v>21.83</v>
      </c>
      <c r="KQ55" s="1">
        <v>23.36</v>
      </c>
      <c r="KR55" s="1">
        <v>24.14</v>
      </c>
      <c r="KS55" s="1">
        <v>24.04</v>
      </c>
      <c r="KT55" s="1">
        <v>23.87</v>
      </c>
      <c r="KU55" s="1">
        <v>23.13</v>
      </c>
      <c r="KV55" s="1">
        <v>22.38</v>
      </c>
      <c r="KW55" s="1">
        <v>21.33</v>
      </c>
      <c r="KX55" s="1">
        <v>19.100000000000001</v>
      </c>
      <c r="KY55" s="1">
        <v>19.54</v>
      </c>
      <c r="KZ55" s="1">
        <v>20.8</v>
      </c>
      <c r="LA55" s="1">
        <v>20.58</v>
      </c>
      <c r="LB55" s="1">
        <v>20.52</v>
      </c>
      <c r="LC55" s="1">
        <v>25.84</v>
      </c>
      <c r="LD55" s="1">
        <v>27.13</v>
      </c>
      <c r="LE55" s="1">
        <v>25.84</v>
      </c>
      <c r="LF55" s="1">
        <v>26.38</v>
      </c>
      <c r="LG55" s="1">
        <v>25.62</v>
      </c>
      <c r="LH55" s="1">
        <v>24.11</v>
      </c>
      <c r="LI55" s="1">
        <v>24.75</v>
      </c>
      <c r="LJ55" s="1">
        <v>22.86</v>
      </c>
      <c r="LK55" s="1">
        <v>23.16</v>
      </c>
      <c r="LL55" s="1">
        <v>22.51</v>
      </c>
      <c r="LM55" s="1">
        <v>23.6</v>
      </c>
      <c r="LN55" s="1">
        <v>24.04</v>
      </c>
      <c r="LO55" s="1">
        <v>24.28</v>
      </c>
      <c r="LP55" s="1">
        <v>25.29</v>
      </c>
      <c r="LQ55" s="1">
        <v>25.62</v>
      </c>
      <c r="LR55" s="1">
        <v>26.81</v>
      </c>
      <c r="LS55" s="1">
        <v>25.18</v>
      </c>
      <c r="LT55" s="1">
        <v>24.2</v>
      </c>
      <c r="LU55" s="1">
        <v>24.01</v>
      </c>
      <c r="LV55" s="1">
        <v>24.67</v>
      </c>
      <c r="LW55" s="1">
        <v>25.52</v>
      </c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27">
        <v>28.25</v>
      </c>
      <c r="MN55" s="27">
        <f>VLOOKUP(B55,[1]Sheet1!$A:$N,7,0)</f>
        <v>28.77</v>
      </c>
      <c r="MO55" s="27">
        <f>VLOOKUP(B55,[1]Sheet1!$A:$N,8,0)</f>
        <v>0</v>
      </c>
      <c r="MP55" s="27">
        <f>VLOOKUP(B55,[1]Sheet1!$A:$N,9,0)</f>
        <v>27.32</v>
      </c>
      <c r="MQ55" s="27">
        <f>VLOOKUP(B55,[1]Sheet1!$A:$N,10,0)</f>
        <v>28.06</v>
      </c>
    </row>
    <row r="56" spans="1:359" s="27" customFormat="1" ht="18.75" customHeight="1" x14ac:dyDescent="0.25">
      <c r="A56" s="8" t="s">
        <v>0</v>
      </c>
      <c r="B56" s="8">
        <v>50020</v>
      </c>
      <c r="C56" s="9" t="s">
        <v>20</v>
      </c>
      <c r="D56" s="10" t="s">
        <v>57</v>
      </c>
      <c r="E56" s="10" t="s">
        <v>99</v>
      </c>
      <c r="F56" s="11" t="s">
        <v>30</v>
      </c>
      <c r="G56" s="39" t="s">
        <v>98</v>
      </c>
      <c r="H56" s="41">
        <v>15.6</v>
      </c>
      <c r="I56" s="13" t="s">
        <v>2</v>
      </c>
      <c r="J56" s="28">
        <v>8.52</v>
      </c>
      <c r="K56" s="15">
        <v>16.124327999999998</v>
      </c>
      <c r="L56" s="15">
        <v>80.886808000000002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>
        <v>3.5</v>
      </c>
      <c r="BF56" s="18"/>
      <c r="BG56" s="18"/>
      <c r="BH56" s="18"/>
      <c r="BI56" s="18"/>
      <c r="BJ56" s="18"/>
      <c r="BK56" s="18">
        <v>4.2699999809265101</v>
      </c>
      <c r="BL56" s="18">
        <v>4.2600002288818404</v>
      </c>
      <c r="BM56" s="18">
        <v>4.6300001144409197</v>
      </c>
      <c r="BN56" s="18">
        <v>4.8299999237060502</v>
      </c>
      <c r="BO56" s="18">
        <v>4.8299999237060502</v>
      </c>
      <c r="BP56" s="18">
        <v>3.8800001144409202</v>
      </c>
      <c r="BQ56" s="18">
        <v>4.0900001525878897</v>
      </c>
      <c r="BR56" s="18">
        <v>2.6300001144409202</v>
      </c>
      <c r="BS56" s="18">
        <v>3.8599998950958199</v>
      </c>
      <c r="BT56" s="18">
        <v>4.0799999237060502</v>
      </c>
      <c r="BU56" s="18">
        <v>4.0100002288818404</v>
      </c>
      <c r="BV56" s="18">
        <v>4.0199999809265101</v>
      </c>
      <c r="BW56" s="18">
        <v>4.5199999809265101</v>
      </c>
      <c r="BX56" s="18">
        <v>3.8399999141693102</v>
      </c>
      <c r="BY56" s="17">
        <v>4.3899998664856001</v>
      </c>
      <c r="BZ56" s="17">
        <v>4.4699997901916504</v>
      </c>
      <c r="CA56" s="17">
        <v>4.6700000762939498</v>
      </c>
      <c r="CB56" s="17">
        <v>4.5900001525878897</v>
      </c>
      <c r="CC56" s="17">
        <v>4.4899997711181596</v>
      </c>
      <c r="CD56" s="17">
        <v>4.0599999427795401</v>
      </c>
      <c r="CE56" s="17">
        <v>3.9700000286102299</v>
      </c>
      <c r="CF56" s="17">
        <v>3.9900000095367401</v>
      </c>
      <c r="CG56" s="17">
        <v>3.7000000476837198</v>
      </c>
      <c r="CH56" s="17">
        <v>4.6999998092651403</v>
      </c>
      <c r="CI56" s="17">
        <v>4.9000000953674299</v>
      </c>
      <c r="CJ56" s="17">
        <v>5.1900000572204599</v>
      </c>
      <c r="CK56" s="17">
        <v>5.2699999809265101</v>
      </c>
      <c r="CL56" s="17">
        <v>5.3800001144409197</v>
      </c>
      <c r="CM56" s="17">
        <v>5.1399998664856001</v>
      </c>
      <c r="CN56" s="17">
        <v>4.8999996185302797</v>
      </c>
      <c r="CO56" s="17">
        <v>3.9900000095367401</v>
      </c>
      <c r="CP56" s="17">
        <v>3.5099999904632599</v>
      </c>
      <c r="CQ56" s="17"/>
      <c r="CR56" s="17"/>
      <c r="CS56" s="17">
        <v>5.1999998092651403</v>
      </c>
      <c r="CT56" s="17"/>
      <c r="CU56" s="17">
        <v>4.6500000953674299</v>
      </c>
      <c r="CV56" s="17"/>
      <c r="CW56" s="17">
        <v>4.8600001335143999</v>
      </c>
      <c r="CX56" s="17"/>
      <c r="CY56" s="17">
        <v>4.9699997901916504</v>
      </c>
      <c r="CZ56" s="17"/>
      <c r="DA56" s="17">
        <v>3.6400001049041699</v>
      </c>
      <c r="DB56" s="17"/>
      <c r="DC56" s="17">
        <v>4.0199999809265101</v>
      </c>
      <c r="DD56" s="17"/>
      <c r="DE56" s="17">
        <v>5.1199998855590803</v>
      </c>
      <c r="DF56" s="17"/>
      <c r="DG56" s="17"/>
      <c r="DH56" s="17"/>
      <c r="DI56" s="17">
        <v>4.9499998092651403</v>
      </c>
      <c r="DJ56" s="17"/>
      <c r="DK56" s="17"/>
      <c r="DL56" s="17"/>
      <c r="DM56" s="17"/>
      <c r="DN56" s="17"/>
      <c r="DO56" s="17">
        <v>4.6300001144409197</v>
      </c>
      <c r="DP56" s="17"/>
      <c r="DQ56" s="17"/>
      <c r="DR56" s="17"/>
      <c r="DS56" s="17"/>
      <c r="DT56" s="17"/>
      <c r="DU56" s="17">
        <v>4.9899997711181596</v>
      </c>
      <c r="DV56" s="17"/>
      <c r="DW56" s="17"/>
      <c r="DX56" s="17"/>
      <c r="DY56" s="17"/>
      <c r="DZ56" s="17"/>
      <c r="EA56" s="17">
        <v>4.5300002098083496</v>
      </c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>
        <v>3.8800001144409202</v>
      </c>
      <c r="EN56" s="17"/>
      <c r="EO56" s="17"/>
      <c r="EP56" s="17">
        <v>3.6800000667571999</v>
      </c>
      <c r="EQ56" s="17">
        <v>3.71000003814697</v>
      </c>
      <c r="ER56" s="17"/>
      <c r="ES56" s="17">
        <v>4.4200000762939498</v>
      </c>
      <c r="ET56" s="17"/>
      <c r="EU56" s="17">
        <v>3.96000003814697</v>
      </c>
      <c r="EV56" s="17"/>
      <c r="EW56" s="17">
        <v>1.2699999809265099</v>
      </c>
      <c r="EX56" s="17"/>
      <c r="EY56" s="17">
        <v>4</v>
      </c>
      <c r="EZ56" s="17"/>
      <c r="FA56" s="17">
        <v>3.4100000858306898</v>
      </c>
      <c r="FB56" s="17"/>
      <c r="FC56" s="17">
        <v>3.8299999237060498</v>
      </c>
      <c r="FD56" s="17"/>
      <c r="FE56" s="17">
        <v>5.3699998855590803</v>
      </c>
      <c r="FF56" s="17"/>
      <c r="FG56" s="17">
        <v>4.2399997711181596</v>
      </c>
      <c r="FH56" s="17"/>
      <c r="FI56" s="17">
        <v>3.6099998950958199</v>
      </c>
      <c r="FJ56" s="17"/>
      <c r="FK56" s="17">
        <v>3.6500000953674299</v>
      </c>
      <c r="FL56" s="17"/>
      <c r="FM56" s="17">
        <v>4.03999996185303</v>
      </c>
      <c r="FN56" s="17"/>
      <c r="FO56" s="17">
        <v>3.8800001144409202</v>
      </c>
      <c r="FP56" s="17"/>
      <c r="FQ56" s="17">
        <v>2</v>
      </c>
      <c r="FR56" s="17"/>
      <c r="FS56" s="17">
        <v>3.6700000762939502</v>
      </c>
      <c r="FT56" s="17">
        <v>2.1700000762939502</v>
      </c>
      <c r="FU56" s="17">
        <v>1.5</v>
      </c>
      <c r="FV56" s="17"/>
      <c r="FW56" s="17">
        <v>3.9500000476837198</v>
      </c>
      <c r="FX56" s="17"/>
      <c r="FY56" s="17">
        <v>4.1999998092651403</v>
      </c>
      <c r="FZ56" s="17"/>
      <c r="GA56" s="17">
        <v>5</v>
      </c>
      <c r="GB56" s="17"/>
      <c r="GC56" s="17">
        <v>5.0999999046325701</v>
      </c>
      <c r="GD56" s="17"/>
      <c r="GE56" s="17">
        <v>5.0599999427795401</v>
      </c>
      <c r="GF56" s="17"/>
      <c r="GG56" s="17">
        <v>3.25</v>
      </c>
      <c r="GH56" s="17"/>
      <c r="GI56" s="17"/>
      <c r="GJ56" s="17"/>
      <c r="GK56" s="17">
        <v>5</v>
      </c>
      <c r="GL56" s="17"/>
      <c r="GM56" s="17">
        <v>5.1999998092651403</v>
      </c>
      <c r="GN56" s="17"/>
      <c r="GO56" s="17">
        <v>5.2199997901916504</v>
      </c>
      <c r="GP56" s="17"/>
      <c r="GQ56" s="17">
        <v>4.5999999046325701</v>
      </c>
      <c r="GR56" s="17"/>
      <c r="GS56" s="17">
        <v>0.68000000715255704</v>
      </c>
      <c r="GT56" s="17"/>
      <c r="GU56" s="17">
        <v>3.5499999523162802</v>
      </c>
      <c r="GV56" s="17"/>
      <c r="GW56" s="17">
        <v>4.4000000953674299</v>
      </c>
      <c r="GX56" s="17"/>
      <c r="GY56" s="17">
        <v>5</v>
      </c>
      <c r="GZ56" s="17"/>
      <c r="HA56" s="17">
        <v>5.1999998092651403</v>
      </c>
      <c r="HB56" s="17"/>
      <c r="HC56" s="17">
        <v>8.25</v>
      </c>
      <c r="HD56" s="17"/>
      <c r="HE56" s="17">
        <v>3.6500000953674299</v>
      </c>
      <c r="HF56" s="17"/>
      <c r="HG56" s="17">
        <v>3.5999999046325701</v>
      </c>
      <c r="HH56" s="17"/>
      <c r="HI56" s="17">
        <v>1.5</v>
      </c>
      <c r="HJ56" s="17">
        <v>3</v>
      </c>
      <c r="HK56" s="17">
        <v>3.3900001049041699</v>
      </c>
      <c r="HL56" s="17">
        <v>3.6199998855590798</v>
      </c>
      <c r="HM56" s="17">
        <v>4.6199998855590803</v>
      </c>
      <c r="HN56" s="17">
        <v>5.6199998855590803</v>
      </c>
      <c r="HO56" s="17">
        <v>4.9200000762939498</v>
      </c>
      <c r="HP56" s="17">
        <v>4.2200002670288201</v>
      </c>
      <c r="HQ56" s="17">
        <v>2.2999999523162802</v>
      </c>
      <c r="HR56" s="17">
        <v>0.37999963760374</v>
      </c>
      <c r="HS56" s="17">
        <v>2.9500000476837198</v>
      </c>
      <c r="HT56" s="17">
        <v>5.5200004577637003</v>
      </c>
      <c r="HU56" s="17">
        <v>4.1500000953674299</v>
      </c>
      <c r="HV56" s="17">
        <v>5.8099999427795401</v>
      </c>
      <c r="HW56" s="17">
        <v>4.75</v>
      </c>
      <c r="HX56" s="17">
        <v>4.9699997901916504</v>
      </c>
      <c r="HY56" s="17">
        <v>5.0500001907348597</v>
      </c>
      <c r="HZ56" s="17">
        <v>4.0199999809265101</v>
      </c>
      <c r="IA56" s="17">
        <v>4.25</v>
      </c>
      <c r="IB56" s="17">
        <v>4.4099998474121103</v>
      </c>
      <c r="IC56" s="17">
        <v>4.1999998092651403</v>
      </c>
      <c r="ID56" s="17">
        <v>4.4800000190734899</v>
      </c>
      <c r="IE56" s="17">
        <v>4.6599998474121103</v>
      </c>
      <c r="IF56" s="17">
        <v>4.6500000953674299</v>
      </c>
      <c r="IG56" s="17">
        <v>4.9899997711181596</v>
      </c>
      <c r="IH56" s="17">
        <v>5.0300002098083496</v>
      </c>
      <c r="II56" s="17">
        <v>5.3099999427795401</v>
      </c>
      <c r="IJ56" s="17">
        <v>5.9099998474121103</v>
      </c>
      <c r="IK56" s="17">
        <v>5.6700000762939498</v>
      </c>
      <c r="IL56" s="17"/>
      <c r="IM56" s="17"/>
      <c r="IN56" s="17"/>
      <c r="IO56" s="17"/>
      <c r="IP56" s="17"/>
      <c r="IQ56" s="17"/>
      <c r="IR56" s="17"/>
      <c r="IS56" s="18">
        <v>4.29</v>
      </c>
      <c r="IT56" s="18">
        <v>5.2</v>
      </c>
      <c r="IU56" s="18">
        <v>5.53</v>
      </c>
      <c r="IV56" s="18">
        <v>5.97</v>
      </c>
      <c r="IW56" s="18">
        <v>6.31</v>
      </c>
      <c r="IX56" s="18">
        <v>5.77</v>
      </c>
      <c r="IY56" s="18">
        <v>5.29</v>
      </c>
      <c r="IZ56" s="19">
        <v>3.96</v>
      </c>
      <c r="JA56" s="20">
        <v>2.56</v>
      </c>
      <c r="JB56" s="20">
        <v>2.0099999999999998</v>
      </c>
      <c r="JC56" s="20">
        <v>2.3199999999999998</v>
      </c>
      <c r="JD56" s="20">
        <v>3.01</v>
      </c>
      <c r="JE56" s="20">
        <v>4.09</v>
      </c>
      <c r="JF56" s="21">
        <v>5.92</v>
      </c>
      <c r="JG56" s="22">
        <v>5.99</v>
      </c>
      <c r="JH56" s="22">
        <v>6.17</v>
      </c>
      <c r="JI56" s="20">
        <v>6.8</v>
      </c>
      <c r="JJ56" s="23">
        <v>6.82</v>
      </c>
      <c r="JK56" s="24">
        <v>4.9400000000000004</v>
      </c>
      <c r="JL56" s="24">
        <v>1.97</v>
      </c>
      <c r="JM56" s="17">
        <v>1.87</v>
      </c>
      <c r="JN56" s="17">
        <v>1.9</v>
      </c>
      <c r="JO56" s="17">
        <v>2.5299999999999998</v>
      </c>
      <c r="JP56" s="17">
        <v>2.33</v>
      </c>
      <c r="JQ56" s="17">
        <v>2.5099999999999998</v>
      </c>
      <c r="JR56" s="17">
        <v>5.22</v>
      </c>
      <c r="JS56" s="17">
        <v>5.48</v>
      </c>
      <c r="JT56" s="17">
        <v>6.22</v>
      </c>
      <c r="JU56" s="17">
        <v>6.81</v>
      </c>
      <c r="JV56" s="18">
        <v>6.91</v>
      </c>
      <c r="JW56" s="18">
        <v>6.61</v>
      </c>
      <c r="JX56" s="18">
        <v>3.63</v>
      </c>
      <c r="JY56" s="18">
        <v>1.5</v>
      </c>
      <c r="JZ56" s="18">
        <v>1.06</v>
      </c>
      <c r="KA56" s="18">
        <v>1.87</v>
      </c>
      <c r="KB56" s="18">
        <v>2.09</v>
      </c>
      <c r="KC56" s="18">
        <v>2.71</v>
      </c>
      <c r="KD56" s="18">
        <v>3.15</v>
      </c>
      <c r="KE56" s="18">
        <v>3.59</v>
      </c>
      <c r="KF56" s="18">
        <v>4.03</v>
      </c>
      <c r="KG56" s="26">
        <v>8.81</v>
      </c>
      <c r="KH56" s="26">
        <v>6.1</v>
      </c>
      <c r="KI56" s="26">
        <v>2.84</v>
      </c>
      <c r="KJ56" s="26">
        <v>3.41</v>
      </c>
      <c r="KK56" s="26">
        <v>1.35</v>
      </c>
      <c r="KL56" s="18">
        <v>1.45</v>
      </c>
      <c r="KM56" s="26">
        <v>2</v>
      </c>
      <c r="KN56" s="18">
        <v>4.8400000000000007</v>
      </c>
      <c r="KO56" s="18">
        <v>4.37</v>
      </c>
      <c r="KP56" s="18">
        <v>5.2600000000000007</v>
      </c>
      <c r="KQ56" s="18">
        <v>6.04</v>
      </c>
      <c r="KR56" s="18">
        <v>5.3500000000000005</v>
      </c>
      <c r="KS56" s="18">
        <v>5.75</v>
      </c>
      <c r="KT56" s="18">
        <v>5.57</v>
      </c>
      <c r="KU56" s="26">
        <v>4.58</v>
      </c>
      <c r="KV56" s="18">
        <v>1.43</v>
      </c>
      <c r="KW56" s="17">
        <v>1.94</v>
      </c>
      <c r="KX56" s="17">
        <v>1.76</v>
      </c>
      <c r="KY56" s="18">
        <v>1.9</v>
      </c>
      <c r="KZ56" s="17">
        <v>2.02</v>
      </c>
      <c r="LA56" s="17">
        <v>2.0499999999999998</v>
      </c>
      <c r="LB56" s="17">
        <v>2.76</v>
      </c>
      <c r="LC56" s="17">
        <v>2.98</v>
      </c>
      <c r="LD56" s="17">
        <v>6.55</v>
      </c>
      <c r="LE56" s="17">
        <v>5.2200000000000006</v>
      </c>
      <c r="LF56" s="17">
        <v>5.62</v>
      </c>
      <c r="LG56" s="18">
        <v>5.5200000000000005</v>
      </c>
      <c r="LH56" s="18">
        <v>1.94</v>
      </c>
      <c r="LI56" s="18">
        <v>1.79</v>
      </c>
      <c r="LJ56" s="18">
        <v>1.56</v>
      </c>
      <c r="LK56" s="18">
        <v>1.4899999999999998</v>
      </c>
      <c r="LL56" s="18">
        <v>1.37</v>
      </c>
      <c r="LM56" s="18">
        <v>4.33</v>
      </c>
      <c r="LN56" s="18">
        <v>4.49</v>
      </c>
      <c r="LO56" s="18">
        <v>4.3800000000000008</v>
      </c>
      <c r="LP56" s="18">
        <v>4.4599999999999991</v>
      </c>
      <c r="LQ56" s="18">
        <v>4.4599999999999991</v>
      </c>
      <c r="LR56" s="18">
        <v>5.24</v>
      </c>
      <c r="LS56" s="18">
        <v>1.63</v>
      </c>
      <c r="LT56" s="18">
        <v>1.1499999999999999</v>
      </c>
      <c r="LU56" s="18">
        <v>1.71</v>
      </c>
      <c r="LV56" s="17">
        <v>2.44</v>
      </c>
      <c r="LW56" s="17">
        <v>2.3199999999999998</v>
      </c>
      <c r="LX56" s="17">
        <v>3.0599999999999996</v>
      </c>
      <c r="LY56" s="17">
        <v>4.67</v>
      </c>
      <c r="LZ56" s="17">
        <v>5.16</v>
      </c>
      <c r="MA56" s="17">
        <v>5.73</v>
      </c>
      <c r="MB56" s="17">
        <v>5.77</v>
      </c>
      <c r="MC56" s="17">
        <v>5.8</v>
      </c>
      <c r="MD56" s="17">
        <v>6.15</v>
      </c>
      <c r="ME56" s="17">
        <v>5.25</v>
      </c>
      <c r="MF56" s="17">
        <v>2.1</v>
      </c>
      <c r="MG56" s="17">
        <v>1.7599999999999998</v>
      </c>
      <c r="MH56" s="17">
        <v>1.4700000000000002</v>
      </c>
      <c r="MI56" s="17">
        <v>2.04</v>
      </c>
      <c r="MJ56" s="17">
        <v>3.3499999999999996</v>
      </c>
      <c r="MK56" s="17">
        <v>4.26</v>
      </c>
      <c r="ML56" s="17">
        <v>4.57</v>
      </c>
      <c r="MM56" s="27">
        <v>5.4</v>
      </c>
      <c r="MN56" s="27">
        <f>VLOOKUP(B56,[1]Sheet1!$A:$N,7,0)</f>
        <v>5.18</v>
      </c>
      <c r="MO56" s="27">
        <f>VLOOKUP(B56,[1]Sheet1!$A:$N,8,0)</f>
        <v>2.1</v>
      </c>
      <c r="MP56" s="27">
        <f>VLOOKUP(B56,[1]Sheet1!$A:$N,9,0)</f>
        <v>5.25</v>
      </c>
      <c r="MQ56" s="27">
        <f>VLOOKUP(B56,[1]Sheet1!$A:$N,10,0)</f>
        <v>2.38</v>
      </c>
      <c r="MR56" s="27">
        <f>VLOOKUP(B56,[1]Sheet1!$A:$N,11,0)</f>
        <v>1.42</v>
      </c>
      <c r="MS56" s="27">
        <f>VLOOKUP(B56,[1]Sheet1!$A:$N,12,0)</f>
        <v>1.45</v>
      </c>
      <c r="MT56" s="27">
        <f>VLOOKUP(B56,[1]Sheet1!$A:$N,13,0)</f>
        <v>0.78</v>
      </c>
      <c r="MU56" s="27">
        <f>VLOOKUP(B56,[1]Sheet1!$A:$N,14,0)</f>
        <v>1.87</v>
      </c>
    </row>
    <row r="57" spans="1:359" s="27" customFormat="1" ht="18.75" customHeight="1" x14ac:dyDescent="0.25">
      <c r="A57" s="8" t="s">
        <v>0</v>
      </c>
      <c r="B57" s="8">
        <v>50021</v>
      </c>
      <c r="C57" s="9" t="s">
        <v>20</v>
      </c>
      <c r="D57" s="10" t="s">
        <v>57</v>
      </c>
      <c r="E57" s="10" t="s">
        <v>100</v>
      </c>
      <c r="F57" s="11" t="s">
        <v>101</v>
      </c>
      <c r="G57" s="39" t="s">
        <v>98</v>
      </c>
      <c r="H57" s="41">
        <v>14.7</v>
      </c>
      <c r="I57" s="13" t="s">
        <v>2</v>
      </c>
      <c r="J57" s="28">
        <v>7.36</v>
      </c>
      <c r="K57" s="15">
        <v>16.127610000000001</v>
      </c>
      <c r="L57" s="15">
        <v>80.879193000000001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>
        <v>1.3999999761581401</v>
      </c>
      <c r="BF57" s="18"/>
      <c r="BG57" s="18"/>
      <c r="BH57" s="18"/>
      <c r="BI57" s="18"/>
      <c r="BJ57" s="18"/>
      <c r="BK57" s="18">
        <v>3.1600000858306898</v>
      </c>
      <c r="BL57" s="18">
        <v>2.3299999237060498</v>
      </c>
      <c r="BM57" s="18">
        <v>4.1100001335143999</v>
      </c>
      <c r="BN57" s="18">
        <v>4.6900000572204599</v>
      </c>
      <c r="BO57" s="18">
        <v>4.71000003814697</v>
      </c>
      <c r="BP57" s="18">
        <v>2.1400001049041699</v>
      </c>
      <c r="BQ57" s="18">
        <v>1.6499999761581401</v>
      </c>
      <c r="BR57" s="18">
        <v>1.1599999666214</v>
      </c>
      <c r="BS57" s="18">
        <v>1.37999999523163</v>
      </c>
      <c r="BT57" s="18">
        <v>2.9100000858306898</v>
      </c>
      <c r="BU57" s="18">
        <v>2.9000000953674299</v>
      </c>
      <c r="BV57" s="18">
        <v>2.8199999332428001</v>
      </c>
      <c r="BW57" s="18">
        <v>2.8299999237060498</v>
      </c>
      <c r="BX57" s="18">
        <v>2.1199998855590798</v>
      </c>
      <c r="BY57" s="17">
        <v>3.8299999237060498</v>
      </c>
      <c r="BZ57" s="17">
        <v>4.3000001907348597</v>
      </c>
      <c r="CA57" s="17">
        <v>4.1300001144409197</v>
      </c>
      <c r="CB57" s="17">
        <v>1.91999995708466</v>
      </c>
      <c r="CC57" s="17">
        <v>1.95000004768372</v>
      </c>
      <c r="CD57" s="17">
        <v>1.7200000286102299</v>
      </c>
      <c r="CE57" s="17">
        <v>2.3799998760223402</v>
      </c>
      <c r="CF57" s="17">
        <v>2.4400000572204599</v>
      </c>
      <c r="CG57" s="17">
        <v>3.3099999427795401</v>
      </c>
      <c r="CH57" s="17">
        <v>4.3200001716613796</v>
      </c>
      <c r="CI57" s="17">
        <v>5</v>
      </c>
      <c r="CJ57" s="17">
        <v>4.9400000572204599</v>
      </c>
      <c r="CK57" s="17">
        <v>5.78999996185303</v>
      </c>
      <c r="CL57" s="17">
        <v>6.0900001525878897</v>
      </c>
      <c r="CM57" s="17">
        <v>6.0199999809265101</v>
      </c>
      <c r="CN57" s="17">
        <v>5.9499998092651296</v>
      </c>
      <c r="CO57" s="17">
        <v>3.8299999237060498</v>
      </c>
      <c r="CP57" s="17">
        <v>1.3199999332428001</v>
      </c>
      <c r="CQ57" s="17"/>
      <c r="CR57" s="17"/>
      <c r="CS57" s="17">
        <v>3.71000003814697</v>
      </c>
      <c r="CT57" s="17"/>
      <c r="CU57" s="17">
        <v>4.1399998664856001</v>
      </c>
      <c r="CV57" s="17"/>
      <c r="CW57" s="17">
        <v>5.0500001907348597</v>
      </c>
      <c r="CX57" s="17"/>
      <c r="CY57" s="17">
        <v>5.5</v>
      </c>
      <c r="CZ57" s="17"/>
      <c r="DA57" s="17">
        <v>1.4900000095367401</v>
      </c>
      <c r="DB57" s="17"/>
      <c r="DC57" s="17">
        <v>1.6399999856948899</v>
      </c>
      <c r="DD57" s="17"/>
      <c r="DE57" s="17">
        <v>3.3900001049041699</v>
      </c>
      <c r="DF57" s="17"/>
      <c r="DG57" s="17"/>
      <c r="DH57" s="17"/>
      <c r="DI57" s="17">
        <v>5.4699997901916504</v>
      </c>
      <c r="DJ57" s="17"/>
      <c r="DK57" s="17"/>
      <c r="DL57" s="17"/>
      <c r="DM57" s="17"/>
      <c r="DN57" s="17"/>
      <c r="DO57" s="17">
        <v>3.3900001049041699</v>
      </c>
      <c r="DP57" s="17"/>
      <c r="DQ57" s="17"/>
      <c r="DR57" s="17"/>
      <c r="DS57" s="17"/>
      <c r="DT57" s="17"/>
      <c r="DU57" s="17">
        <v>4.4800000190734899</v>
      </c>
      <c r="DV57" s="17"/>
      <c r="DW57" s="17"/>
      <c r="DX57" s="17"/>
      <c r="DY57" s="17"/>
      <c r="DZ57" s="17"/>
      <c r="EA57" s="17">
        <v>2</v>
      </c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>
        <v>2.5499999523162802</v>
      </c>
      <c r="EN57" s="17"/>
      <c r="EO57" s="17"/>
      <c r="EP57" s="17">
        <v>3.0299999713897701</v>
      </c>
      <c r="EQ57" s="17">
        <v>2.4800000190734899</v>
      </c>
      <c r="ER57" s="17"/>
      <c r="ES57" s="17">
        <v>4.6300001144409197</v>
      </c>
      <c r="ET57" s="17"/>
      <c r="EU57" s="17">
        <v>2.8199999332428001</v>
      </c>
      <c r="EV57" s="17"/>
      <c r="EW57" s="17">
        <v>1.4900000095367401</v>
      </c>
      <c r="EX57" s="17"/>
      <c r="EY57" s="17">
        <v>2.5599999427795401</v>
      </c>
      <c r="EZ57" s="17"/>
      <c r="FA57" s="17">
        <v>2.5299999713897701</v>
      </c>
      <c r="FB57" s="17"/>
      <c r="FC57" s="17">
        <v>2.2999999523162802</v>
      </c>
      <c r="FD57" s="17"/>
      <c r="FE57" s="17">
        <v>4.1900000572204599</v>
      </c>
      <c r="FF57" s="17"/>
      <c r="FG57" s="17">
        <v>2.4500000476837198</v>
      </c>
      <c r="FH57" s="17"/>
      <c r="FI57" s="17">
        <v>1.6900000572204601</v>
      </c>
      <c r="FJ57" s="17"/>
      <c r="FK57" s="17">
        <v>1.5</v>
      </c>
      <c r="FL57" s="17"/>
      <c r="FM57" s="17">
        <v>3.4200000762939502</v>
      </c>
      <c r="FN57" s="17"/>
      <c r="FO57" s="17">
        <v>2.1500000953674299</v>
      </c>
      <c r="FP57" s="17"/>
      <c r="FQ57" s="17">
        <v>3.5799999237060498</v>
      </c>
      <c r="FR57" s="17"/>
      <c r="FS57" s="17">
        <v>2.1700000762939502</v>
      </c>
      <c r="FT57" s="17">
        <v>1.5599999427795399</v>
      </c>
      <c r="FU57" s="17">
        <v>1</v>
      </c>
      <c r="FV57" s="17"/>
      <c r="FW57" s="17">
        <v>1.25</v>
      </c>
      <c r="FX57" s="17"/>
      <c r="FY57" s="17">
        <v>3.4000000953674299</v>
      </c>
      <c r="FZ57" s="17"/>
      <c r="GA57" s="17">
        <v>4.9000000953674299</v>
      </c>
      <c r="GB57" s="17"/>
      <c r="GC57" s="17">
        <v>5.5599999427795401</v>
      </c>
      <c r="GD57" s="17"/>
      <c r="GE57" s="17">
        <v>4.75</v>
      </c>
      <c r="GF57" s="17">
        <v>1.3999999761581401</v>
      </c>
      <c r="GG57" s="17">
        <v>1.5</v>
      </c>
      <c r="GH57" s="17"/>
      <c r="GI57" s="17"/>
      <c r="GJ57" s="17">
        <v>2.9800000190734899</v>
      </c>
      <c r="GK57" s="17">
        <v>4.6999998092651403</v>
      </c>
      <c r="GL57" s="17"/>
      <c r="GM57" s="17">
        <v>5</v>
      </c>
      <c r="GN57" s="17"/>
      <c r="GO57" s="17">
        <v>5.5999999046325701</v>
      </c>
      <c r="GP57" s="17"/>
      <c r="GQ57" s="17">
        <v>4.78999996185303</v>
      </c>
      <c r="GR57" s="17"/>
      <c r="GS57" s="17">
        <v>1.6499999761581401</v>
      </c>
      <c r="GT57" s="17"/>
      <c r="GU57" s="17">
        <v>1.8500000238418599</v>
      </c>
      <c r="GV57" s="17"/>
      <c r="GW57" s="17">
        <v>3.7999999523162802</v>
      </c>
      <c r="GX57" s="17"/>
      <c r="GY57" s="17">
        <v>5.1999998092651403</v>
      </c>
      <c r="GZ57" s="17"/>
      <c r="HA57" s="17">
        <v>5.8000001907348597</v>
      </c>
      <c r="HB57" s="17"/>
      <c r="HC57" s="17">
        <v>6</v>
      </c>
      <c r="HD57" s="17"/>
      <c r="HE57" s="17">
        <v>1.4900000095367401</v>
      </c>
      <c r="HF57" s="17"/>
      <c r="HG57" s="17">
        <v>1.4800000190734901</v>
      </c>
      <c r="HH57" s="17"/>
      <c r="HI57" s="17">
        <v>3.9500000476837198</v>
      </c>
      <c r="HJ57" s="17">
        <v>3</v>
      </c>
      <c r="HK57" s="17">
        <v>2.5</v>
      </c>
      <c r="HL57" s="17">
        <v>3.6199998855590798</v>
      </c>
      <c r="HM57" s="17">
        <v>4.7699999809265101</v>
      </c>
      <c r="HN57" s="17">
        <v>5.5100002288818404</v>
      </c>
      <c r="HO57" s="17">
        <v>5.03999996185303</v>
      </c>
      <c r="HP57" s="17">
        <v>3.3699998855590798</v>
      </c>
      <c r="HQ57" s="17">
        <v>1.2699999809265099</v>
      </c>
      <c r="HR57" s="17">
        <v>1.3200000524520901</v>
      </c>
      <c r="HS57" s="17">
        <v>1.5700000524520901</v>
      </c>
      <c r="HT57" s="17">
        <v>2.7699999809265101</v>
      </c>
      <c r="HU57" s="17">
        <v>3.5699999332428001</v>
      </c>
      <c r="HV57" s="17">
        <v>4.5999999046325701</v>
      </c>
      <c r="HW57" s="17">
        <v>4.8699998855590803</v>
      </c>
      <c r="HX57" s="17">
        <v>5.1599998474121103</v>
      </c>
      <c r="HY57" s="17">
        <v>5.5900001525878897</v>
      </c>
      <c r="HZ57" s="17">
        <v>3.8699998855590798</v>
      </c>
      <c r="IA57" s="17">
        <v>4.1399998664856001</v>
      </c>
      <c r="IB57" s="17">
        <v>4.3099999427795401</v>
      </c>
      <c r="IC57" s="17">
        <v>3.0699999332428001</v>
      </c>
      <c r="ID57" s="17">
        <v>4.5799999237060502</v>
      </c>
      <c r="IE57" s="17">
        <v>4.8299999237060502</v>
      </c>
      <c r="IF57" s="17">
        <v>4.6500000953674299</v>
      </c>
      <c r="IG57" s="17">
        <v>5.1500000953674299</v>
      </c>
      <c r="IH57" s="17">
        <v>5.3000001907348597</v>
      </c>
      <c r="II57" s="17">
        <v>6.0199999809265101</v>
      </c>
      <c r="IJ57" s="17">
        <v>6.5599999427795401</v>
      </c>
      <c r="IK57" s="17">
        <v>6.6399998664856001</v>
      </c>
      <c r="IL57" s="17"/>
      <c r="IM57" s="17"/>
      <c r="IN57" s="17"/>
      <c r="IO57" s="17"/>
      <c r="IP57" s="17"/>
      <c r="IQ57" s="17"/>
      <c r="IR57" s="17"/>
      <c r="IS57" s="18">
        <v>4.45</v>
      </c>
      <c r="IT57" s="18">
        <v>4.96</v>
      </c>
      <c r="IU57" s="18">
        <v>5.17</v>
      </c>
      <c r="IV57" s="18">
        <v>5.34</v>
      </c>
      <c r="IW57" s="18">
        <v>5.45</v>
      </c>
      <c r="IX57" s="18">
        <v>5</v>
      </c>
      <c r="IY57" s="18">
        <v>4.79</v>
      </c>
      <c r="IZ57" s="19">
        <v>4.29</v>
      </c>
      <c r="JA57" s="20">
        <v>3.82</v>
      </c>
      <c r="JB57" s="20">
        <v>3.86</v>
      </c>
      <c r="JC57" s="20">
        <v>1</v>
      </c>
      <c r="JD57" s="20">
        <v>4.2300000000000004</v>
      </c>
      <c r="JE57" s="20">
        <v>4.4800000000000004</v>
      </c>
      <c r="JF57" s="21">
        <v>4.63</v>
      </c>
      <c r="JG57" s="22">
        <v>5.19</v>
      </c>
      <c r="JH57" s="22">
        <v>5.44</v>
      </c>
      <c r="JI57" s="20">
        <v>5.59</v>
      </c>
      <c r="JJ57" s="23">
        <v>5.45</v>
      </c>
      <c r="JK57" s="24">
        <v>4.79</v>
      </c>
      <c r="JL57" s="24">
        <v>3.51</v>
      </c>
      <c r="JM57" s="17">
        <v>3.97</v>
      </c>
      <c r="JN57" s="17">
        <v>3.83</v>
      </c>
      <c r="JO57" s="17">
        <v>4.08</v>
      </c>
      <c r="JP57" s="17">
        <v>3.86</v>
      </c>
      <c r="JQ57" s="17">
        <v>3.97</v>
      </c>
      <c r="JR57" s="17">
        <v>5.05</v>
      </c>
      <c r="JS57" s="17">
        <v>5.58</v>
      </c>
      <c r="JT57" s="17">
        <v>5.6</v>
      </c>
      <c r="JU57" s="17">
        <v>5.68</v>
      </c>
      <c r="JV57" s="18">
        <v>5.78</v>
      </c>
      <c r="JW57" s="18">
        <v>5.33</v>
      </c>
      <c r="JX57" s="18">
        <v>3.7</v>
      </c>
      <c r="JY57" s="18">
        <v>3.38</v>
      </c>
      <c r="JZ57" s="18">
        <v>2.42</v>
      </c>
      <c r="KA57" s="18">
        <v>3.96</v>
      </c>
      <c r="KB57" s="18">
        <v>4.79</v>
      </c>
      <c r="KC57" s="18">
        <v>5.33</v>
      </c>
      <c r="KD57" s="18">
        <v>6.05</v>
      </c>
      <c r="KE57" s="18">
        <v>6.77</v>
      </c>
      <c r="KF57" s="18">
        <v>7.49</v>
      </c>
      <c r="KG57" s="26">
        <v>5.97</v>
      </c>
      <c r="KH57" s="26">
        <v>5.32</v>
      </c>
      <c r="KI57" s="26">
        <v>4.13</v>
      </c>
      <c r="KJ57" s="26">
        <v>3.48</v>
      </c>
      <c r="KK57" s="26">
        <v>0.65</v>
      </c>
      <c r="KL57" s="26">
        <v>1.18</v>
      </c>
      <c r="KM57" s="26">
        <v>2.6300000000000003</v>
      </c>
      <c r="KN57" s="18">
        <v>3.14</v>
      </c>
      <c r="KO57" s="18">
        <v>4.5299999999999994</v>
      </c>
      <c r="KP57" s="18">
        <v>4.6099999999999994</v>
      </c>
      <c r="KQ57" s="18">
        <v>4.9799999999999995</v>
      </c>
      <c r="KR57" s="18">
        <v>3.86</v>
      </c>
      <c r="KS57" s="18">
        <v>4.9399999999999995</v>
      </c>
      <c r="KT57" s="18">
        <v>4.6499999999999995</v>
      </c>
      <c r="KU57" s="26">
        <v>4.1999999999999993</v>
      </c>
      <c r="KV57" s="18">
        <v>1.33</v>
      </c>
      <c r="KW57" s="17">
        <v>1.5</v>
      </c>
      <c r="KX57" s="17">
        <v>1.3000000000000003</v>
      </c>
      <c r="KY57" s="18">
        <v>1.54</v>
      </c>
      <c r="KZ57" s="17">
        <v>2.04</v>
      </c>
      <c r="LA57" s="17">
        <v>1.81</v>
      </c>
      <c r="LB57" s="17">
        <v>1.9900000000000002</v>
      </c>
      <c r="LC57" s="17">
        <v>2.02</v>
      </c>
      <c r="LD57" s="17">
        <v>6.22</v>
      </c>
      <c r="LE57" s="17">
        <v>4.91</v>
      </c>
      <c r="LF57" s="17">
        <v>5.22</v>
      </c>
      <c r="LG57" s="18">
        <v>4.3999999999999995</v>
      </c>
      <c r="LH57" s="18">
        <v>3.77</v>
      </c>
      <c r="LI57" s="18">
        <v>3.52</v>
      </c>
      <c r="LJ57" s="18">
        <v>2.4000000000000004</v>
      </c>
      <c r="LK57" s="18">
        <v>4.0200000000000005</v>
      </c>
      <c r="LL57" s="18">
        <v>4.5199999999999996</v>
      </c>
      <c r="LM57" s="18">
        <v>4.8899999999999997</v>
      </c>
      <c r="LN57" s="18">
        <v>5.18</v>
      </c>
      <c r="LO57" s="18">
        <v>4.71</v>
      </c>
      <c r="LP57" s="18">
        <v>4.8599999999999994</v>
      </c>
      <c r="LQ57" s="18">
        <v>4.83</v>
      </c>
      <c r="LR57" s="18">
        <v>5.2399999999999993</v>
      </c>
      <c r="LS57" s="18">
        <v>1.9000000000000004</v>
      </c>
      <c r="LT57" s="18">
        <v>3.9600000000000004</v>
      </c>
      <c r="LU57" s="18">
        <v>4.08</v>
      </c>
      <c r="LV57" s="17">
        <v>4.72</v>
      </c>
      <c r="LW57" s="17">
        <v>4.34</v>
      </c>
      <c r="LX57" s="17">
        <v>4.6099999999999994</v>
      </c>
      <c r="LY57" s="17">
        <v>5.22</v>
      </c>
      <c r="LZ57" s="17">
        <v>5.34</v>
      </c>
      <c r="MA57" s="17">
        <v>5.69</v>
      </c>
      <c r="MB57" s="17">
        <v>5.63</v>
      </c>
      <c r="MC57" s="17">
        <v>5.29</v>
      </c>
      <c r="MD57" s="17">
        <v>5.4899999999999993</v>
      </c>
      <c r="ME57" s="17">
        <v>4.92</v>
      </c>
      <c r="MF57" s="17">
        <v>3.91</v>
      </c>
      <c r="MG57" s="17">
        <v>1.04</v>
      </c>
      <c r="MH57" s="17">
        <v>3.5699999999999994</v>
      </c>
      <c r="MI57" s="17">
        <v>4.12</v>
      </c>
      <c r="MJ57" s="17">
        <v>4.6499999999999995</v>
      </c>
      <c r="MK57" s="17">
        <v>5.2399999999999993</v>
      </c>
      <c r="ML57" s="17">
        <v>5.13</v>
      </c>
      <c r="MM57" s="27">
        <v>6.12</v>
      </c>
      <c r="MN57" s="27">
        <f>VLOOKUP(B57,[1]Sheet1!$A:$N,7,0)</f>
        <v>5.22</v>
      </c>
      <c r="MO57" s="27">
        <f>VLOOKUP(B57,[1]Sheet1!$A:$N,8,0)</f>
        <v>3.91</v>
      </c>
      <c r="MP57" s="27">
        <f>VLOOKUP(B57,[1]Sheet1!$A:$N,9,0)</f>
        <v>4.91</v>
      </c>
      <c r="MQ57" s="27">
        <f>VLOOKUP(B57,[1]Sheet1!$A:$N,10,0)</f>
        <v>5.0199999999999996</v>
      </c>
      <c r="MR57" s="27">
        <f>VLOOKUP(B57,[1]Sheet1!$A:$N,11,0)</f>
        <v>1.18</v>
      </c>
      <c r="MS57" s="27">
        <f>VLOOKUP(B57,[1]Sheet1!$A:$N,12,0)</f>
        <v>0.6</v>
      </c>
      <c r="MT57" s="27">
        <f>VLOOKUP(B57,[1]Sheet1!$A:$N,13,0)</f>
        <v>2.68</v>
      </c>
      <c r="MU57" s="27">
        <f>VLOOKUP(B57,[1]Sheet1!$A:$N,14,0)</f>
        <v>3.76</v>
      </c>
    </row>
    <row r="58" spans="1:359" s="27" customFormat="1" ht="18.75" customHeight="1" x14ac:dyDescent="0.25">
      <c r="A58" s="8" t="s">
        <v>0</v>
      </c>
      <c r="B58" s="8">
        <v>50022</v>
      </c>
      <c r="C58" s="9" t="s">
        <v>20</v>
      </c>
      <c r="D58" s="10" t="s">
        <v>57</v>
      </c>
      <c r="E58" s="10" t="s">
        <v>102</v>
      </c>
      <c r="F58" s="11" t="s">
        <v>103</v>
      </c>
      <c r="G58" s="39" t="s">
        <v>98</v>
      </c>
      <c r="H58" s="41">
        <v>16.100000000000001</v>
      </c>
      <c r="I58" s="13" t="s">
        <v>2</v>
      </c>
      <c r="J58" s="28">
        <v>8.11</v>
      </c>
      <c r="K58" s="15">
        <v>16.137042000000001</v>
      </c>
      <c r="L58" s="15">
        <v>80.892994000000002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>
        <v>1.7699999809265099</v>
      </c>
      <c r="BF58" s="18"/>
      <c r="BG58" s="18"/>
      <c r="BH58" s="18"/>
      <c r="BI58" s="18"/>
      <c r="BJ58" s="18"/>
      <c r="BK58" s="18">
        <v>2.28999996185303</v>
      </c>
      <c r="BL58" s="18">
        <v>2.03999996185303</v>
      </c>
      <c r="BM58" s="18">
        <v>3.3499999046325701</v>
      </c>
      <c r="BN58" s="18">
        <v>4.1700000762939498</v>
      </c>
      <c r="BO58" s="18">
        <v>4.3400001525878897</v>
      </c>
      <c r="BP58" s="18">
        <v>1.58000004291534</v>
      </c>
      <c r="BQ58" s="18">
        <v>1.5299999713897701</v>
      </c>
      <c r="BR58" s="18">
        <v>1.25</v>
      </c>
      <c r="BS58" s="18">
        <v>1.4299999475479099</v>
      </c>
      <c r="BT58" s="18">
        <v>2.4400000572204599</v>
      </c>
      <c r="BU58" s="18">
        <v>2.25</v>
      </c>
      <c r="BV58" s="18">
        <v>2.4800000190734899</v>
      </c>
      <c r="BW58" s="18">
        <v>2.28999996185303</v>
      </c>
      <c r="BX58" s="18">
        <v>1.9700000286102299</v>
      </c>
      <c r="BY58" s="17">
        <v>2.6300001144409202</v>
      </c>
      <c r="BZ58" s="17">
        <v>3.5199999809265101</v>
      </c>
      <c r="CA58" s="17">
        <v>4.0599999427795401</v>
      </c>
      <c r="CB58" s="17">
        <v>1.8500000238418599</v>
      </c>
      <c r="CC58" s="17">
        <v>1.87000000476837</v>
      </c>
      <c r="CD58" s="17">
        <v>1.5299999713897701</v>
      </c>
      <c r="CE58" s="17">
        <v>1.4700000286102299</v>
      </c>
      <c r="CF58" s="17">
        <v>2.0099999904632599</v>
      </c>
      <c r="CG58" s="17">
        <v>2.2999999523162802</v>
      </c>
      <c r="CH58" s="17">
        <v>3.4300000667571999</v>
      </c>
      <c r="CI58" s="17">
        <v>4.4400000572204599</v>
      </c>
      <c r="CJ58" s="17">
        <v>5.0900001525878897</v>
      </c>
      <c r="CK58" s="17">
        <v>5.25</v>
      </c>
      <c r="CL58" s="17">
        <v>5.6100001335143999</v>
      </c>
      <c r="CM58" s="17">
        <v>5.5799999237060502</v>
      </c>
      <c r="CN58" s="17">
        <v>5.5499997138976997</v>
      </c>
      <c r="CO58" s="17">
        <v>2.2400000095367401</v>
      </c>
      <c r="CP58" s="17">
        <v>1.1899999380111701</v>
      </c>
      <c r="CQ58" s="17"/>
      <c r="CR58" s="17"/>
      <c r="CS58" s="17">
        <v>3.0799999237060498</v>
      </c>
      <c r="CT58" s="17"/>
      <c r="CU58" s="17">
        <v>3.3299999237060498</v>
      </c>
      <c r="CV58" s="17"/>
      <c r="CW58" s="17">
        <v>4.6700000762939498</v>
      </c>
      <c r="CX58" s="17"/>
      <c r="CY58" s="17">
        <v>4.6599998474121103</v>
      </c>
      <c r="CZ58" s="17"/>
      <c r="DA58" s="17">
        <v>1.46000003814697</v>
      </c>
      <c r="DB58" s="17"/>
      <c r="DC58" s="17">
        <v>1.1900000572204601</v>
      </c>
      <c r="DD58" s="17"/>
      <c r="DE58" s="17">
        <v>2.5699999332428001</v>
      </c>
      <c r="DF58" s="17"/>
      <c r="DG58" s="17"/>
      <c r="DH58" s="17"/>
      <c r="DI58" s="17">
        <v>8.2100000381469709</v>
      </c>
      <c r="DJ58" s="17"/>
      <c r="DK58" s="17"/>
      <c r="DL58" s="17"/>
      <c r="DM58" s="17"/>
      <c r="DN58" s="17"/>
      <c r="DO58" s="17">
        <v>5.5199999809265101</v>
      </c>
      <c r="DP58" s="17"/>
      <c r="DQ58" s="17"/>
      <c r="DR58" s="17"/>
      <c r="DS58" s="17"/>
      <c r="DT58" s="17"/>
      <c r="DU58" s="17">
        <v>7.1700000762939498</v>
      </c>
      <c r="DV58" s="17"/>
      <c r="DW58" s="17"/>
      <c r="DX58" s="17"/>
      <c r="DY58" s="17"/>
      <c r="DZ58" s="17"/>
      <c r="EA58" s="17">
        <v>5.1399998664856001</v>
      </c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>
        <v>2.4900000095367401</v>
      </c>
      <c r="EN58" s="17"/>
      <c r="EO58" s="17"/>
      <c r="EP58" s="17">
        <v>2.2599999904632599</v>
      </c>
      <c r="EQ58" s="17">
        <v>2.0299999713897701</v>
      </c>
      <c r="ER58" s="17"/>
      <c r="ES58" s="17">
        <v>4.0999999046325701</v>
      </c>
      <c r="ET58" s="17"/>
      <c r="EU58" s="17">
        <v>1.66999995708466</v>
      </c>
      <c r="EV58" s="17"/>
      <c r="EW58" s="17">
        <v>1.5099999904632599</v>
      </c>
      <c r="EX58" s="17"/>
      <c r="EY58" s="17">
        <v>1.7599999904632599</v>
      </c>
      <c r="EZ58" s="17"/>
      <c r="FA58" s="17">
        <v>2.25</v>
      </c>
      <c r="FB58" s="17"/>
      <c r="FC58" s="17">
        <v>2.2000000476837198</v>
      </c>
      <c r="FD58" s="17"/>
      <c r="FE58" s="17">
        <v>3.0099999904632599</v>
      </c>
      <c r="FF58" s="17"/>
      <c r="FG58" s="17">
        <v>1.58000004291534</v>
      </c>
      <c r="FH58" s="17"/>
      <c r="FI58" s="17">
        <v>1.4800000190734901</v>
      </c>
      <c r="FJ58" s="17"/>
      <c r="FK58" s="17">
        <v>1.37999999523163</v>
      </c>
      <c r="FL58" s="17"/>
      <c r="FM58" s="17">
        <v>2.46000003814697</v>
      </c>
      <c r="FN58" s="17"/>
      <c r="FO58" s="17">
        <v>1.83000004291534</v>
      </c>
      <c r="FP58" s="17"/>
      <c r="FQ58" s="17">
        <v>6.4699997901916504</v>
      </c>
      <c r="FR58" s="17"/>
      <c r="FS58" s="17">
        <v>1.6799999475479099</v>
      </c>
      <c r="FT58" s="17">
        <v>1.4700000286102299</v>
      </c>
      <c r="FU58" s="17">
        <v>1.2300000190734901</v>
      </c>
      <c r="FV58" s="17"/>
      <c r="FW58" s="17">
        <v>1.5900000333786</v>
      </c>
      <c r="FX58" s="17"/>
      <c r="FY58" s="17">
        <v>2.78999996185303</v>
      </c>
      <c r="FZ58" s="17"/>
      <c r="GA58" s="17">
        <v>4.0799999237060502</v>
      </c>
      <c r="GB58" s="17"/>
      <c r="GC58" s="17">
        <v>5.4699997901916504</v>
      </c>
      <c r="GD58" s="17"/>
      <c r="GE58" s="17">
        <v>4.6999998092651403</v>
      </c>
      <c r="GF58" s="17">
        <v>1.53999996185303</v>
      </c>
      <c r="GG58" s="17">
        <v>1.62999999523163</v>
      </c>
      <c r="GH58" s="17"/>
      <c r="GI58" s="17"/>
      <c r="GJ58" s="17"/>
      <c r="GK58" s="17">
        <v>3.7799999713897701</v>
      </c>
      <c r="GL58" s="17"/>
      <c r="GM58" s="17">
        <v>4.3299999237060502</v>
      </c>
      <c r="GN58" s="17"/>
      <c r="GO58" s="17">
        <v>4.6300001144409197</v>
      </c>
      <c r="GP58" s="17"/>
      <c r="GQ58" s="17">
        <v>4.0799999237060502</v>
      </c>
      <c r="GR58" s="17"/>
      <c r="GS58" s="17">
        <v>1.5099999904632599</v>
      </c>
      <c r="GT58" s="17"/>
      <c r="GU58" s="17">
        <v>1.6799999475479099</v>
      </c>
      <c r="GV58" s="17">
        <v>2.2300000190734899</v>
      </c>
      <c r="GW58" s="17">
        <v>2.96000003814697</v>
      </c>
      <c r="GX58" s="17"/>
      <c r="GY58" s="17">
        <v>4.6799998283386204</v>
      </c>
      <c r="GZ58" s="17"/>
      <c r="HA58" s="17">
        <v>4.8800001144409197</v>
      </c>
      <c r="HB58" s="17"/>
      <c r="HC58" s="17">
        <v>5.4899997711181596</v>
      </c>
      <c r="HD58" s="17"/>
      <c r="HE58" s="17">
        <v>1.46000003814697</v>
      </c>
      <c r="HF58" s="17"/>
      <c r="HG58" s="17">
        <v>1.4800000190734901</v>
      </c>
      <c r="HH58" s="17"/>
      <c r="HI58" s="17">
        <v>2.21000003814697</v>
      </c>
      <c r="HJ58" s="17">
        <v>2.5199999809265101</v>
      </c>
      <c r="HK58" s="17">
        <v>2.0899999141693102</v>
      </c>
      <c r="HL58" s="17">
        <v>2.5</v>
      </c>
      <c r="HM58" s="17">
        <v>4.0999999046325701</v>
      </c>
      <c r="HN58" s="17">
        <v>4.75</v>
      </c>
      <c r="HO58" s="17">
        <v>6.5500001907348597</v>
      </c>
      <c r="HP58" s="17">
        <v>2.0199999809265101</v>
      </c>
      <c r="HQ58" s="17">
        <v>1.1499999761581401</v>
      </c>
      <c r="HR58" s="17">
        <v>1.16999995708466</v>
      </c>
      <c r="HS58" s="17">
        <v>1.3999999761581401</v>
      </c>
      <c r="HT58" s="17">
        <v>2.2000000476837198</v>
      </c>
      <c r="HU58" s="17">
        <v>2.7999999523162802</v>
      </c>
      <c r="HV58" s="17">
        <v>3.0499999523162802</v>
      </c>
      <c r="HW58" s="17">
        <v>3.1300001144409202</v>
      </c>
      <c r="HX58" s="17">
        <v>3.9700000286102299</v>
      </c>
      <c r="HY58" s="17">
        <v>4.71000003814697</v>
      </c>
      <c r="HZ58" s="17">
        <v>3.03999996185303</v>
      </c>
      <c r="IA58" s="17">
        <v>2.53999996185303</v>
      </c>
      <c r="IB58" s="17">
        <v>3.25</v>
      </c>
      <c r="IC58" s="17">
        <v>3.2599999904632599</v>
      </c>
      <c r="ID58" s="17">
        <v>3.28999996185303</v>
      </c>
      <c r="IE58" s="17">
        <v>4.2300000190734899</v>
      </c>
      <c r="IF58" s="17">
        <v>3.9100000858306898</v>
      </c>
      <c r="IG58" s="17">
        <v>4.6799998283386204</v>
      </c>
      <c r="IH58" s="17">
        <v>5.4899997711181596</v>
      </c>
      <c r="II58" s="17">
        <v>5.3899998664856001</v>
      </c>
      <c r="IJ58" s="17">
        <v>5.8400001525878897</v>
      </c>
      <c r="IK58" s="17">
        <v>6.1300001144409197</v>
      </c>
      <c r="IL58" s="17"/>
      <c r="IM58" s="17"/>
      <c r="IN58" s="17">
        <v>1.8600000143051101</v>
      </c>
      <c r="IO58" s="17">
        <v>1.53999996185303</v>
      </c>
      <c r="IP58" s="17">
        <v>1.62000000476837</v>
      </c>
      <c r="IQ58" s="17">
        <v>2.75</v>
      </c>
      <c r="IR58" s="17">
        <v>1.9900000095367401</v>
      </c>
      <c r="IS58" s="18">
        <v>3.69</v>
      </c>
      <c r="IT58" s="18">
        <v>4.57</v>
      </c>
      <c r="IU58" s="18">
        <v>4.49</v>
      </c>
      <c r="IV58" s="18">
        <v>5.25</v>
      </c>
      <c r="IW58" s="18">
        <v>5.66</v>
      </c>
      <c r="IX58" s="18">
        <v>5.67</v>
      </c>
      <c r="IY58" s="18">
        <v>4.09</v>
      </c>
      <c r="IZ58" s="19">
        <v>1.98</v>
      </c>
      <c r="JA58" s="20">
        <v>1.8</v>
      </c>
      <c r="JB58" s="20">
        <v>1.62</v>
      </c>
      <c r="JC58" s="20">
        <v>1.58</v>
      </c>
      <c r="JD58" s="20">
        <v>2.2400000000000002</v>
      </c>
      <c r="JE58" s="20">
        <v>3.61</v>
      </c>
      <c r="JF58" s="21">
        <v>4.63</v>
      </c>
      <c r="JG58" s="22">
        <v>4.84</v>
      </c>
      <c r="JH58" s="22">
        <v>5.68</v>
      </c>
      <c r="JI58" s="20">
        <v>6.11</v>
      </c>
      <c r="JJ58" s="23">
        <v>6.23</v>
      </c>
      <c r="JK58" s="24">
        <v>4.8099999999999996</v>
      </c>
      <c r="JL58" s="24">
        <v>1.53</v>
      </c>
      <c r="JM58" s="17">
        <v>1.46</v>
      </c>
      <c r="JN58" s="17">
        <v>1.53</v>
      </c>
      <c r="JO58" s="17">
        <v>1.62</v>
      </c>
      <c r="JP58" s="17">
        <v>1.59</v>
      </c>
      <c r="JQ58" s="17">
        <v>3.39</v>
      </c>
      <c r="JR58" s="17">
        <v>4.3499999999999996</v>
      </c>
      <c r="JS58" s="17">
        <v>5.0599999999999996</v>
      </c>
      <c r="JT58" s="17">
        <v>5.61</v>
      </c>
      <c r="JU58" s="17">
        <v>6.07</v>
      </c>
      <c r="JV58" s="18">
        <v>6.48</v>
      </c>
      <c r="JW58" s="18">
        <v>6.38</v>
      </c>
      <c r="JX58" s="18">
        <v>2.85</v>
      </c>
      <c r="JY58" s="18">
        <v>1.4</v>
      </c>
      <c r="JZ58" s="18">
        <v>0.93</v>
      </c>
      <c r="KA58" s="18">
        <v>1.84</v>
      </c>
      <c r="KB58" s="18">
        <v>2.4500000000000002</v>
      </c>
      <c r="KC58" s="18">
        <v>3.43</v>
      </c>
      <c r="KD58" s="18">
        <v>4.2300000000000004</v>
      </c>
      <c r="KE58" s="18">
        <v>5.03</v>
      </c>
      <c r="KF58" s="18">
        <v>5.83</v>
      </c>
      <c r="KG58" s="26">
        <v>6.32</v>
      </c>
      <c r="KH58" s="26">
        <v>5.34</v>
      </c>
      <c r="KI58" s="26">
        <v>2.0299999999999998</v>
      </c>
      <c r="KJ58" s="26">
        <v>1.43</v>
      </c>
      <c r="KK58" s="26">
        <v>1.05</v>
      </c>
      <c r="KL58" s="18">
        <v>1.4400000000000002</v>
      </c>
      <c r="KM58" s="26">
        <v>1.6300000000000001</v>
      </c>
      <c r="KN58" s="18">
        <v>2.2800000000000002</v>
      </c>
      <c r="KO58" s="18">
        <v>3.6000000000000005</v>
      </c>
      <c r="KP58" s="18">
        <v>3.3100000000000005</v>
      </c>
      <c r="KQ58" s="18">
        <v>3.4400000000000004</v>
      </c>
      <c r="KR58" s="18">
        <v>3.6400000000000006</v>
      </c>
      <c r="KS58" s="18">
        <v>4.18</v>
      </c>
      <c r="KT58" s="18">
        <v>4.0600000000000005</v>
      </c>
      <c r="KU58" s="26">
        <v>3.3500000000000005</v>
      </c>
      <c r="KV58" s="18">
        <v>1.24</v>
      </c>
      <c r="KW58" s="17">
        <v>0.85999999999999988</v>
      </c>
      <c r="KX58" s="17">
        <v>0.74</v>
      </c>
      <c r="KY58" s="18">
        <v>1.5599999999999998</v>
      </c>
      <c r="KZ58" s="17">
        <v>2.1799999999999997</v>
      </c>
      <c r="LA58" s="17">
        <v>2.3600000000000003</v>
      </c>
      <c r="LB58" s="17">
        <v>2.34</v>
      </c>
      <c r="LC58" s="17">
        <v>2.99</v>
      </c>
      <c r="LD58" s="17">
        <v>5.64</v>
      </c>
      <c r="LE58" s="17">
        <v>4.7700000000000005</v>
      </c>
      <c r="LF58" s="17">
        <v>4.95</v>
      </c>
      <c r="LG58" s="18">
        <v>4.1500000000000004</v>
      </c>
      <c r="LH58" s="18">
        <v>1.45</v>
      </c>
      <c r="LI58" s="18">
        <v>1.43</v>
      </c>
      <c r="LJ58" s="18">
        <v>1.3499999999999999</v>
      </c>
      <c r="LK58" s="18">
        <v>1.4999999999999998</v>
      </c>
      <c r="LL58" s="18">
        <v>1.8</v>
      </c>
      <c r="LM58" s="18">
        <v>3.3200000000000003</v>
      </c>
      <c r="LN58" s="18">
        <v>3.38</v>
      </c>
      <c r="LO58" s="18">
        <v>3.0999999999999996</v>
      </c>
      <c r="LP58" s="18">
        <v>2.75</v>
      </c>
      <c r="LQ58" s="18">
        <v>3.0700000000000003</v>
      </c>
      <c r="LR58" s="18">
        <v>4.1500000000000004</v>
      </c>
      <c r="LS58" s="18">
        <v>1.32</v>
      </c>
      <c r="LT58" s="18">
        <v>1.41</v>
      </c>
      <c r="LU58" s="18">
        <v>1.4400000000000002</v>
      </c>
      <c r="LV58" s="17">
        <v>1.51</v>
      </c>
      <c r="LW58" s="17">
        <v>1.5899999999999999</v>
      </c>
      <c r="LX58" s="17">
        <v>2.33</v>
      </c>
      <c r="LY58" s="17">
        <v>4.1500000000000004</v>
      </c>
      <c r="LZ58" s="17">
        <v>4.33</v>
      </c>
      <c r="MA58" s="17">
        <v>4.99</v>
      </c>
      <c r="MB58" s="17">
        <v>5.21</v>
      </c>
      <c r="MC58" s="17">
        <v>5.04</v>
      </c>
      <c r="MD58" s="17">
        <v>5.37</v>
      </c>
      <c r="ME58" s="17">
        <v>2.61</v>
      </c>
      <c r="MF58" s="17">
        <v>1.5499999999999998</v>
      </c>
      <c r="MG58" s="17">
        <v>1.4500000000000002</v>
      </c>
      <c r="MH58" s="17">
        <v>1.54</v>
      </c>
      <c r="MI58" s="17">
        <v>1.62</v>
      </c>
      <c r="MJ58" s="17">
        <v>2.79</v>
      </c>
      <c r="MK58" s="17">
        <v>3.6900000000000004</v>
      </c>
      <c r="ML58" s="17">
        <v>3.74</v>
      </c>
      <c r="MM58" s="27">
        <v>4.6100000000000003</v>
      </c>
      <c r="MN58" s="27">
        <f>VLOOKUP(B58,[1]Sheet1!$A:$N,7,0)</f>
        <v>4.37</v>
      </c>
      <c r="MO58" s="27">
        <f>VLOOKUP(B58,[1]Sheet1!$A:$N,8,0)</f>
        <v>1.5499999999999998</v>
      </c>
      <c r="MP58" s="27">
        <f>VLOOKUP(B58,[1]Sheet1!$A:$N,9,0)</f>
        <v>4.68</v>
      </c>
      <c r="MQ58" s="27">
        <f>VLOOKUP(B58,[1]Sheet1!$A:$N,10,0)</f>
        <v>1.9</v>
      </c>
      <c r="MR58" s="27">
        <f>VLOOKUP(B58,[1]Sheet1!$A:$N,11,0)</f>
        <v>1.31</v>
      </c>
      <c r="MS58" s="27">
        <f>VLOOKUP(B58,[1]Sheet1!$A:$N,12,0)</f>
        <v>1.29</v>
      </c>
      <c r="MT58" s="27">
        <f>VLOOKUP(B58,[1]Sheet1!$A:$N,13,0)</f>
        <v>1.1000000000000001</v>
      </c>
      <c r="MU58" s="27">
        <f>VLOOKUP(B58,[1]Sheet1!$A:$N,14,0)</f>
        <v>1.7200000000000002</v>
      </c>
    </row>
    <row r="59" spans="1:359" s="27" customFormat="1" ht="18.75" customHeight="1" x14ac:dyDescent="0.25">
      <c r="A59" s="8" t="s">
        <v>0</v>
      </c>
      <c r="B59" s="8">
        <v>50023</v>
      </c>
      <c r="C59" s="9" t="s">
        <v>20</v>
      </c>
      <c r="D59" s="10" t="s">
        <v>63</v>
      </c>
      <c r="E59" s="10" t="s">
        <v>104</v>
      </c>
      <c r="F59" s="11" t="s">
        <v>105</v>
      </c>
      <c r="G59" s="39" t="s">
        <v>98</v>
      </c>
      <c r="H59" s="41">
        <v>82</v>
      </c>
      <c r="I59" s="13" t="s">
        <v>2</v>
      </c>
      <c r="J59" s="28">
        <v>9.5</v>
      </c>
      <c r="K59" s="15">
        <v>16.193560999999999</v>
      </c>
      <c r="L59" s="15">
        <v>80.846376000000006</v>
      </c>
      <c r="M59" s="30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>
        <v>5.4749999046325701</v>
      </c>
      <c r="BV59" s="18">
        <v>5.625</v>
      </c>
      <c r="BW59" s="18">
        <v>5.8550000190734899</v>
      </c>
      <c r="BX59" s="18">
        <v>5.7350001335143999</v>
      </c>
      <c r="BY59" s="17">
        <v>5.9349999427795401</v>
      </c>
      <c r="BZ59" s="17">
        <v>6.2550001144409197</v>
      </c>
      <c r="CA59" s="17">
        <v>6.7049999237060502</v>
      </c>
      <c r="CB59" s="17">
        <v>6.6999998092651403</v>
      </c>
      <c r="CC59" s="17">
        <v>6.8200001716613796</v>
      </c>
      <c r="CD59" s="17">
        <v>6.4250001907348597</v>
      </c>
      <c r="CE59" s="17">
        <v>5.6950001716613796</v>
      </c>
      <c r="CF59" s="17">
        <v>6.0450000762939498</v>
      </c>
      <c r="CG59" s="17">
        <v>5.6550002098083496</v>
      </c>
      <c r="CH59" s="17">
        <v>6.7249999046325701</v>
      </c>
      <c r="CI59" s="17">
        <v>7.3449997901916504</v>
      </c>
      <c r="CJ59" s="17">
        <v>7.83500003814697</v>
      </c>
      <c r="CK59" s="17">
        <v>7.4549999237060502</v>
      </c>
      <c r="CL59" s="17">
        <v>7.3249998092651403</v>
      </c>
      <c r="CM59" s="17">
        <v>7.4349999427795401</v>
      </c>
      <c r="CN59" s="17">
        <v>7.54500007629394</v>
      </c>
      <c r="CO59" s="17">
        <v>7.3550000190734899</v>
      </c>
      <c r="CP59" s="17">
        <v>6.3249998092651403</v>
      </c>
      <c r="CQ59" s="17"/>
      <c r="CR59" s="17"/>
      <c r="CS59" s="17">
        <v>6.9250001907348597</v>
      </c>
      <c r="CT59" s="17"/>
      <c r="CU59" s="17">
        <v>7.8650002479553196</v>
      </c>
      <c r="CV59" s="17"/>
      <c r="CW59" s="17">
        <v>7.58500003814697</v>
      </c>
      <c r="CX59" s="17"/>
      <c r="CY59" s="17">
        <v>7.8150000572204599</v>
      </c>
      <c r="CZ59" s="17"/>
      <c r="DA59" s="17">
        <v>6.3650002479553196</v>
      </c>
      <c r="DB59" s="17"/>
      <c r="DC59" s="17">
        <v>6.0199999809265101</v>
      </c>
      <c r="DD59" s="17"/>
      <c r="DE59" s="17">
        <v>6.28999996185303</v>
      </c>
      <c r="DF59" s="17"/>
      <c r="DG59" s="17"/>
      <c r="DH59" s="17"/>
      <c r="DI59" s="17">
        <v>7.6300001144409197</v>
      </c>
      <c r="DJ59" s="17"/>
      <c r="DK59" s="17"/>
      <c r="DL59" s="17"/>
      <c r="DM59" s="17"/>
      <c r="DN59" s="17"/>
      <c r="DO59" s="17">
        <v>5.6500000953674299</v>
      </c>
      <c r="DP59" s="17"/>
      <c r="DQ59" s="17"/>
      <c r="DR59" s="17"/>
      <c r="DS59" s="17"/>
      <c r="DT59" s="17"/>
      <c r="DU59" s="17">
        <v>7.2800002098083496</v>
      </c>
      <c r="DV59" s="17"/>
      <c r="DW59" s="17"/>
      <c r="DX59" s="17"/>
      <c r="DY59" s="17"/>
      <c r="DZ59" s="17"/>
      <c r="EA59" s="17">
        <v>5.5900001525878897</v>
      </c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>
        <v>5.0900001525878897</v>
      </c>
      <c r="EN59" s="17"/>
      <c r="EO59" s="17"/>
      <c r="EP59" s="17">
        <v>5.6100001335143999</v>
      </c>
      <c r="EQ59" s="17">
        <v>5.8000001907348597</v>
      </c>
      <c r="ER59" s="17"/>
      <c r="ES59" s="17">
        <v>5.9299998283386204</v>
      </c>
      <c r="ET59" s="17"/>
      <c r="EU59" s="17">
        <v>6.7800002098083496</v>
      </c>
      <c r="EV59" s="17"/>
      <c r="EW59" s="17">
        <v>3.3499999046325701</v>
      </c>
      <c r="EX59" s="17"/>
      <c r="EY59" s="17">
        <v>4.9800000190734899</v>
      </c>
      <c r="EZ59" s="17"/>
      <c r="FA59" s="17">
        <v>5.9699997901916504</v>
      </c>
      <c r="FB59" s="17"/>
      <c r="FC59" s="17">
        <v>5.7699999809265101</v>
      </c>
      <c r="FD59" s="17"/>
      <c r="FE59" s="17">
        <v>5.9699997901916504</v>
      </c>
      <c r="FF59" s="17"/>
      <c r="FG59" s="17">
        <v>7.3000001907348597</v>
      </c>
      <c r="FH59" s="17"/>
      <c r="FI59" s="17">
        <v>5.9499998092651403</v>
      </c>
      <c r="FJ59" s="17"/>
      <c r="FK59" s="17">
        <v>5.8699998855590803</v>
      </c>
      <c r="FL59" s="17"/>
      <c r="FM59" s="17">
        <v>5.8000001907348597</v>
      </c>
      <c r="FN59" s="17"/>
      <c r="FO59" s="17">
        <v>5.9499998092651403</v>
      </c>
      <c r="FP59" s="17"/>
      <c r="FQ59" s="17">
        <v>4.2300000190734899</v>
      </c>
      <c r="FR59" s="17"/>
      <c r="FS59" s="17">
        <v>5.3000001907348597</v>
      </c>
      <c r="FT59" s="17">
        <v>4.1900000572204599</v>
      </c>
      <c r="FU59" s="17">
        <v>3.1199998855590798</v>
      </c>
      <c r="FV59" s="17"/>
      <c r="FW59" s="17">
        <v>3.2200000286102299</v>
      </c>
      <c r="FX59" s="17"/>
      <c r="FY59" s="17">
        <v>5.9699997901916504</v>
      </c>
      <c r="FZ59" s="17"/>
      <c r="GA59" s="17">
        <v>6.0599999427795401</v>
      </c>
      <c r="GB59" s="17"/>
      <c r="GC59" s="17">
        <v>6.1500000953674299</v>
      </c>
      <c r="GD59" s="17"/>
      <c r="GE59" s="17">
        <v>6.8400001525878897</v>
      </c>
      <c r="GF59" s="17">
        <v>5.3000001907348597</v>
      </c>
      <c r="GG59" s="17">
        <v>4.2199997901916504</v>
      </c>
      <c r="GH59" s="17"/>
      <c r="GI59" s="17">
        <v>4.3200001716613796</v>
      </c>
      <c r="GJ59" s="17">
        <v>5.9400000572204599</v>
      </c>
      <c r="GK59" s="17">
        <v>6.6199998855590803</v>
      </c>
      <c r="GL59" s="17"/>
      <c r="GM59" s="17">
        <v>6.9000000953674299</v>
      </c>
      <c r="GN59" s="17"/>
      <c r="GO59" s="17">
        <v>6.5500001907348597</v>
      </c>
      <c r="GP59" s="17"/>
      <c r="GQ59" s="17">
        <v>6.9000000953674299</v>
      </c>
      <c r="GR59" s="17"/>
      <c r="GS59" s="17">
        <v>5.7600002288818404</v>
      </c>
      <c r="GT59" s="17"/>
      <c r="GU59" s="17">
        <v>5.6500000953674299</v>
      </c>
      <c r="GV59" s="17"/>
      <c r="GW59" s="17">
        <v>6.5999999046325701</v>
      </c>
      <c r="GX59" s="17"/>
      <c r="GY59" s="17">
        <v>7.3000001907348597</v>
      </c>
      <c r="GZ59" s="17"/>
      <c r="HA59" s="17">
        <v>7</v>
      </c>
      <c r="HB59" s="17"/>
      <c r="HC59" s="17">
        <v>7.3800001144409197</v>
      </c>
      <c r="HD59" s="17"/>
      <c r="HE59" s="17">
        <v>4.5700001716613796</v>
      </c>
      <c r="HF59" s="17"/>
      <c r="HG59" s="17">
        <v>4.1100001335143999</v>
      </c>
      <c r="HH59" s="17"/>
      <c r="HI59" s="17">
        <v>6.4800000190734899</v>
      </c>
      <c r="HJ59" s="17">
        <v>6.9099998474121103</v>
      </c>
      <c r="HK59" s="17">
        <v>7.0999999046325701</v>
      </c>
      <c r="HL59" s="17">
        <v>6.9000000953674299</v>
      </c>
      <c r="HM59" s="17">
        <v>6.6500000953674299</v>
      </c>
      <c r="HN59" s="17">
        <v>7</v>
      </c>
      <c r="HO59" s="17">
        <v>7.8299999237060502</v>
      </c>
      <c r="HP59" s="17">
        <v>7.0999999046325701</v>
      </c>
      <c r="HQ59" s="17">
        <v>5.7699999809265101</v>
      </c>
      <c r="HR59" s="17">
        <v>6.1399998664856001</v>
      </c>
      <c r="HS59" s="17">
        <v>5.9499998092651403</v>
      </c>
      <c r="HT59" s="17">
        <v>6.3000001907348597</v>
      </c>
      <c r="HU59" s="17">
        <v>6.8000001907348597</v>
      </c>
      <c r="HV59" s="17">
        <v>7.0700001716613796</v>
      </c>
      <c r="HW59" s="17">
        <v>7.4000000953674299</v>
      </c>
      <c r="HX59" s="17">
        <v>7.2199997901916504</v>
      </c>
      <c r="HY59" s="17">
        <v>7.3699998855590803</v>
      </c>
      <c r="HZ59" s="17">
        <v>6.3400001525878897</v>
      </c>
      <c r="IA59" s="17">
        <v>7.3800001144409197</v>
      </c>
      <c r="IB59" s="17">
        <v>7.9299998283386204</v>
      </c>
      <c r="IC59" s="17">
        <v>7.3000001907348597</v>
      </c>
      <c r="ID59" s="17">
        <v>7.8400001525878897</v>
      </c>
      <c r="IE59" s="17">
        <v>8.4899997711181605</v>
      </c>
      <c r="IF59" s="17">
        <v>7.6900000572204599</v>
      </c>
      <c r="IG59" s="17">
        <v>7.5700001716613796</v>
      </c>
      <c r="IH59" s="17">
        <v>7.53999996185303</v>
      </c>
      <c r="II59" s="17">
        <v>7.7399997711181596</v>
      </c>
      <c r="IJ59" s="17">
        <v>7.9699997901916504</v>
      </c>
      <c r="IK59" s="17">
        <v>8</v>
      </c>
      <c r="IL59" s="17"/>
      <c r="IM59" s="17"/>
      <c r="IN59" s="17">
        <v>8.3599996566772496</v>
      </c>
      <c r="IO59" s="17">
        <v>7.75</v>
      </c>
      <c r="IP59" s="17">
        <v>6.9299998283386204</v>
      </c>
      <c r="IQ59" s="17">
        <v>7.1799998283386204</v>
      </c>
      <c r="IR59" s="17">
        <v>6.6500000953674299</v>
      </c>
      <c r="IS59" s="18">
        <v>7.36</v>
      </c>
      <c r="IT59" s="18">
        <v>7.44</v>
      </c>
      <c r="IU59" s="18">
        <v>7.76</v>
      </c>
      <c r="IV59" s="18">
        <v>7.91</v>
      </c>
      <c r="IW59" s="18">
        <v>7.93</v>
      </c>
      <c r="IX59" s="18">
        <v>7.95</v>
      </c>
      <c r="IY59" s="18">
        <v>8.76</v>
      </c>
      <c r="IZ59" s="19">
        <v>7.99</v>
      </c>
      <c r="JA59" s="20">
        <v>7.52</v>
      </c>
      <c r="JB59" s="20">
        <v>7.42</v>
      </c>
      <c r="JC59" s="20">
        <v>7.77</v>
      </c>
      <c r="JD59" s="20">
        <v>7.17</v>
      </c>
      <c r="JE59" s="20">
        <v>7.87</v>
      </c>
      <c r="JF59" s="21">
        <v>8.1999999999999993</v>
      </c>
      <c r="JG59" s="22">
        <v>8.6199999999999992</v>
      </c>
      <c r="JH59" s="22">
        <v>8.4499999999999993</v>
      </c>
      <c r="JI59" s="20">
        <v>8.58</v>
      </c>
      <c r="JJ59" s="23">
        <v>8.75</v>
      </c>
      <c r="JK59" s="24">
        <v>8.7200000000000006</v>
      </c>
      <c r="JL59" s="24">
        <v>7.49</v>
      </c>
      <c r="JM59" s="17">
        <v>7.75</v>
      </c>
      <c r="JN59" s="17">
        <v>6.65</v>
      </c>
      <c r="JO59" s="17">
        <v>7.67</v>
      </c>
      <c r="JP59" s="17">
        <v>7.31</v>
      </c>
      <c r="JQ59" s="17">
        <v>7.92</v>
      </c>
      <c r="JR59" s="17">
        <v>8.59</v>
      </c>
      <c r="JS59" s="17">
        <v>9.2100000000000009</v>
      </c>
      <c r="JT59" s="17">
        <v>9</v>
      </c>
      <c r="JU59" s="17">
        <v>9</v>
      </c>
      <c r="JV59" s="18">
        <v>9.42</v>
      </c>
      <c r="JW59" s="18">
        <v>10.38</v>
      </c>
      <c r="JX59" s="18">
        <v>7.75</v>
      </c>
      <c r="JY59" s="18">
        <v>5.73</v>
      </c>
      <c r="JZ59" s="18">
        <v>6.35</v>
      </c>
      <c r="KA59" s="18">
        <v>6.9</v>
      </c>
      <c r="KB59" s="18">
        <v>7.27</v>
      </c>
      <c r="KC59" s="18">
        <v>8.24</v>
      </c>
      <c r="KD59" s="18">
        <v>8.48</v>
      </c>
      <c r="KE59" s="18">
        <v>8.7200000000000006</v>
      </c>
      <c r="KF59" s="18">
        <v>8.9600000000000009</v>
      </c>
      <c r="KG59" s="26">
        <v>9.35</v>
      </c>
      <c r="KH59" s="26">
        <v>8.9700000000000006</v>
      </c>
      <c r="KI59" s="26">
        <v>9.0399999999999991</v>
      </c>
      <c r="KJ59" s="26">
        <v>6.14</v>
      </c>
      <c r="KK59" s="26">
        <v>4.45</v>
      </c>
      <c r="KL59" s="18">
        <v>4.2399999999999993</v>
      </c>
      <c r="KM59" s="26">
        <v>5.52</v>
      </c>
      <c r="KN59" s="18">
        <v>6.72</v>
      </c>
      <c r="KO59" s="18">
        <v>7.6899999999999995</v>
      </c>
      <c r="KP59" s="18">
        <v>7.879999999999999</v>
      </c>
      <c r="KQ59" s="18">
        <v>8.5499999999999989</v>
      </c>
      <c r="KR59" s="18">
        <v>8.42</v>
      </c>
      <c r="KS59" s="18">
        <v>8.4699999999999989</v>
      </c>
      <c r="KT59" s="18">
        <v>8.25</v>
      </c>
      <c r="KU59" s="26">
        <v>7.9599999999999991</v>
      </c>
      <c r="KV59" s="18">
        <v>4.5299999999999994</v>
      </c>
      <c r="KW59" s="17">
        <v>3.86</v>
      </c>
      <c r="KX59" s="17">
        <v>3.6</v>
      </c>
      <c r="KY59" s="18">
        <v>3.2399999999999998</v>
      </c>
      <c r="KZ59" s="17">
        <v>3.73</v>
      </c>
      <c r="LA59" s="17">
        <v>7.5</v>
      </c>
      <c r="LB59" s="17">
        <v>7.7899999999999991</v>
      </c>
      <c r="LC59" s="17">
        <v>8.01</v>
      </c>
      <c r="LD59" s="17">
        <v>9.44</v>
      </c>
      <c r="LE59" s="17">
        <v>8.73</v>
      </c>
      <c r="LF59" s="17">
        <v>9.2199999999999989</v>
      </c>
      <c r="LG59" s="18">
        <v>8.3199999999999985</v>
      </c>
      <c r="LH59" s="18">
        <v>7.4</v>
      </c>
      <c r="LI59" s="18">
        <v>6.58</v>
      </c>
      <c r="LJ59" s="18">
        <v>5.68</v>
      </c>
      <c r="LK59" s="18">
        <v>7.4599999999999991</v>
      </c>
      <c r="LL59" s="18">
        <v>7.5600000000000005</v>
      </c>
      <c r="LM59" s="18">
        <v>8.17</v>
      </c>
      <c r="LN59" s="18">
        <v>8.2999999999999989</v>
      </c>
      <c r="LO59" s="18">
        <v>8.23</v>
      </c>
      <c r="LP59" s="18">
        <v>8.5499999999999989</v>
      </c>
      <c r="LQ59" s="18">
        <v>8.33</v>
      </c>
      <c r="LR59" s="18">
        <v>9.1</v>
      </c>
      <c r="LS59" s="18">
        <v>7.11</v>
      </c>
      <c r="LT59" s="18">
        <v>7.4799999999999995</v>
      </c>
      <c r="LU59" s="18">
        <v>7.16</v>
      </c>
      <c r="LV59" s="17">
        <v>9.379999999999999</v>
      </c>
      <c r="LW59" s="17">
        <v>8.5599999999999987</v>
      </c>
      <c r="LX59" s="17">
        <v>8</v>
      </c>
      <c r="LY59" s="17">
        <v>9.16</v>
      </c>
      <c r="LZ59" s="17">
        <v>9.66</v>
      </c>
      <c r="MA59" s="17">
        <v>9.58</v>
      </c>
      <c r="MB59" s="17">
        <v>9.61</v>
      </c>
      <c r="MC59" s="17">
        <v>9.4499999999999993</v>
      </c>
      <c r="MD59" s="17">
        <v>10.229999999999999</v>
      </c>
      <c r="ME59" s="17">
        <v>8.7799999999999994</v>
      </c>
      <c r="MF59" s="17">
        <v>8.7999999999999989</v>
      </c>
      <c r="MG59" s="17">
        <v>7.71</v>
      </c>
      <c r="MH59" s="17">
        <v>7.2200000000000006</v>
      </c>
      <c r="MI59" s="17">
        <v>7.3999999999999995</v>
      </c>
      <c r="MJ59" s="17">
        <v>8.18</v>
      </c>
      <c r="MK59" s="17">
        <v>9</v>
      </c>
      <c r="ML59" s="17">
        <v>8.9799999999999986</v>
      </c>
      <c r="MM59" s="27">
        <v>9.5399999999999991</v>
      </c>
      <c r="MN59" s="27">
        <f>VLOOKUP(B59,[1]Sheet1!$A:$N,7,0)</f>
        <v>9.44</v>
      </c>
      <c r="MO59" s="27">
        <f>VLOOKUP(B59,[1]Sheet1!$A:$N,8,0)</f>
        <v>8.7999999999999989</v>
      </c>
      <c r="MP59" s="27">
        <f>VLOOKUP(B59,[1]Sheet1!$A:$N,9,0)</f>
        <v>9.5299999999999994</v>
      </c>
      <c r="MQ59" s="27">
        <f>VLOOKUP(B59,[1]Sheet1!$A:$N,10,0)</f>
        <v>9.94</v>
      </c>
      <c r="MR59" s="27">
        <f>VLOOKUP(B59,[1]Sheet1!$A:$N,11,0)</f>
        <v>9.02</v>
      </c>
      <c r="MS59" s="27">
        <f>VLOOKUP(B59,[1]Sheet1!$A:$N,12,0)</f>
        <v>8.91</v>
      </c>
      <c r="MT59" s="27">
        <f>VLOOKUP(B59,[1]Sheet1!$A:$N,13,0)</f>
        <v>8.68</v>
      </c>
      <c r="MU59" s="27">
        <f>VLOOKUP(B59,[1]Sheet1!$A:$N,14,0)</f>
        <v>9.5299999999999994</v>
      </c>
    </row>
    <row r="60" spans="1:359" s="27" customFormat="1" ht="18.75" customHeight="1" x14ac:dyDescent="0.25">
      <c r="A60" s="8" t="s">
        <v>0</v>
      </c>
      <c r="B60" s="8">
        <v>50024</v>
      </c>
      <c r="C60" s="9" t="s">
        <v>20</v>
      </c>
      <c r="D60" s="10" t="s">
        <v>106</v>
      </c>
      <c r="E60" s="10" t="s">
        <v>107</v>
      </c>
      <c r="F60" s="11" t="s">
        <v>46</v>
      </c>
      <c r="G60" s="39" t="s">
        <v>98</v>
      </c>
      <c r="H60" s="41">
        <v>154</v>
      </c>
      <c r="I60" s="13" t="s">
        <v>2</v>
      </c>
      <c r="J60" s="28">
        <v>5.66</v>
      </c>
      <c r="K60" s="15">
        <v>16.338386</v>
      </c>
      <c r="L60" s="15">
        <v>81.068656000000004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7"/>
      <c r="BZ60" s="17"/>
      <c r="CA60" s="17"/>
      <c r="CB60" s="17"/>
      <c r="CC60" s="17"/>
      <c r="CD60" s="17"/>
      <c r="CE60" s="17"/>
      <c r="CF60" s="17"/>
      <c r="CG60" s="17"/>
      <c r="CH60" s="17">
        <v>5.1399998664856001</v>
      </c>
      <c r="CI60" s="17">
        <v>5.1799998283386204</v>
      </c>
      <c r="CJ60" s="17"/>
      <c r="CK60" s="17">
        <v>5.78999996185303</v>
      </c>
      <c r="CL60" s="17">
        <v>5.8800001144409197</v>
      </c>
      <c r="CM60" s="17">
        <v>5.8099999427795401</v>
      </c>
      <c r="CN60" s="17">
        <v>5.7399997711181596</v>
      </c>
      <c r="CO60" s="17">
        <v>5.8899998664856001</v>
      </c>
      <c r="CP60" s="17">
        <v>5.0999999046325701</v>
      </c>
      <c r="CQ60" s="17"/>
      <c r="CR60" s="17"/>
      <c r="CS60" s="17">
        <v>3.9900000095367401</v>
      </c>
      <c r="CT60" s="17"/>
      <c r="CU60" s="17">
        <v>5.5599999427795401</v>
      </c>
      <c r="CV60" s="17"/>
      <c r="CW60" s="17">
        <v>5.96000003814697</v>
      </c>
      <c r="CX60" s="17"/>
      <c r="CY60" s="17">
        <v>6.1900000572204599</v>
      </c>
      <c r="CZ60" s="17"/>
      <c r="DA60" s="17">
        <v>5.9099998474121103</v>
      </c>
      <c r="DB60" s="17"/>
      <c r="DC60" s="17">
        <v>3.9200000762939502</v>
      </c>
      <c r="DD60" s="17"/>
      <c r="DE60" s="17">
        <v>4.4699997901916504</v>
      </c>
      <c r="DF60" s="17"/>
      <c r="DG60" s="17"/>
      <c r="DH60" s="17"/>
      <c r="DI60" s="17">
        <v>5</v>
      </c>
      <c r="DJ60" s="17"/>
      <c r="DK60" s="17"/>
      <c r="DL60" s="17"/>
      <c r="DM60" s="17"/>
      <c r="DN60" s="17"/>
      <c r="DO60" s="17">
        <v>4</v>
      </c>
      <c r="DP60" s="17"/>
      <c r="DQ60" s="17"/>
      <c r="DR60" s="17"/>
      <c r="DS60" s="17"/>
      <c r="DT60" s="17"/>
      <c r="DU60" s="17">
        <v>5.6700000762939498</v>
      </c>
      <c r="DV60" s="17"/>
      <c r="DW60" s="17"/>
      <c r="DX60" s="17"/>
      <c r="DY60" s="17"/>
      <c r="DZ60" s="17"/>
      <c r="EA60" s="17">
        <v>4.0500001907348597</v>
      </c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>
        <v>2.2400000095367401</v>
      </c>
      <c r="EN60" s="17"/>
      <c r="EO60" s="17"/>
      <c r="EP60" s="17">
        <v>2.4800000190734899</v>
      </c>
      <c r="EQ60" s="17">
        <v>2.8599998950958301</v>
      </c>
      <c r="ER60" s="17"/>
      <c r="ES60" s="17">
        <v>2.9100000858306898</v>
      </c>
      <c r="ET60" s="17"/>
      <c r="EU60" s="17">
        <v>2.5299999713897701</v>
      </c>
      <c r="EV60" s="17"/>
      <c r="EW60" s="17">
        <v>2.3599998950958301</v>
      </c>
      <c r="EX60" s="17"/>
      <c r="EY60" s="17">
        <v>2.0299999713897701</v>
      </c>
      <c r="EZ60" s="17"/>
      <c r="FA60" s="17"/>
      <c r="FB60" s="17">
        <v>2.7400000095367401</v>
      </c>
      <c r="FC60" s="17">
        <v>2.7999999523162802</v>
      </c>
      <c r="FD60" s="17"/>
      <c r="FE60" s="17">
        <v>2.5899999141693102</v>
      </c>
      <c r="FF60" s="17"/>
      <c r="FG60" s="17">
        <v>3.1600000858306898</v>
      </c>
      <c r="FH60" s="17"/>
      <c r="FI60" s="17">
        <v>3.6500000953674299</v>
      </c>
      <c r="FJ60" s="17"/>
      <c r="FK60" s="17">
        <v>2.25</v>
      </c>
      <c r="FL60" s="17"/>
      <c r="FM60" s="17">
        <v>2.5499999523162802</v>
      </c>
      <c r="FN60" s="17"/>
      <c r="FO60" s="17">
        <v>2.75</v>
      </c>
      <c r="FP60" s="17"/>
      <c r="FQ60" s="17">
        <v>2.7999999523162802</v>
      </c>
      <c r="FR60" s="17"/>
      <c r="FS60" s="17">
        <v>3.1700000762939502</v>
      </c>
      <c r="FT60" s="17">
        <v>2.7999999523162802</v>
      </c>
      <c r="FU60" s="17">
        <v>2.4000000953674299</v>
      </c>
      <c r="FV60" s="17"/>
      <c r="FW60" s="17">
        <v>2.1300001144409202</v>
      </c>
      <c r="FX60" s="17"/>
      <c r="FY60" s="17">
        <v>2.28999996185303</v>
      </c>
      <c r="FZ60" s="17"/>
      <c r="GA60" s="17">
        <v>2.5999999046325701</v>
      </c>
      <c r="GB60" s="17"/>
      <c r="GC60" s="17">
        <v>3.0499999523162802</v>
      </c>
      <c r="GD60" s="17"/>
      <c r="GE60" s="17">
        <v>3.4800000190734899</v>
      </c>
      <c r="GF60" s="17">
        <v>3.2000000476837198</v>
      </c>
      <c r="GG60" s="17">
        <v>3.4100000858306898</v>
      </c>
      <c r="GH60" s="17"/>
      <c r="GI60" s="17"/>
      <c r="GJ60" s="17">
        <v>2.8499999046325701</v>
      </c>
      <c r="GK60" s="17">
        <v>2.7799999713897701</v>
      </c>
      <c r="GL60" s="17"/>
      <c r="GM60" s="17">
        <v>3.4000000953674299</v>
      </c>
      <c r="GN60" s="17">
        <v>3.7000000476837198</v>
      </c>
      <c r="GO60" s="17">
        <v>3.8499999046325701</v>
      </c>
      <c r="GP60" s="17"/>
      <c r="GQ60" s="17">
        <v>4.1799998283386204</v>
      </c>
      <c r="GR60" s="17"/>
      <c r="GS60" s="17">
        <v>3.75</v>
      </c>
      <c r="GT60" s="17"/>
      <c r="GU60" s="17">
        <v>3.3699998855590798</v>
      </c>
      <c r="GV60" s="17"/>
      <c r="GW60" s="17">
        <v>3.5</v>
      </c>
      <c r="GX60" s="17"/>
      <c r="GY60" s="17">
        <v>4</v>
      </c>
      <c r="GZ60" s="17"/>
      <c r="HA60" s="17">
        <v>4.6500000953674299</v>
      </c>
      <c r="HB60" s="17"/>
      <c r="HC60" s="17">
        <v>4.9499998092651403</v>
      </c>
      <c r="HD60" s="17"/>
      <c r="HE60" s="17">
        <v>4.4000000953674299</v>
      </c>
      <c r="HF60" s="17"/>
      <c r="HG60" s="17">
        <v>3.7999999523162802</v>
      </c>
      <c r="HH60" s="17"/>
      <c r="HI60" s="17">
        <v>4.0700001716613796</v>
      </c>
      <c r="HJ60" s="17">
        <v>4.25</v>
      </c>
      <c r="HK60" s="17">
        <v>4.1599998474121103</v>
      </c>
      <c r="HL60" s="17">
        <v>4.46000003814697</v>
      </c>
      <c r="HM60" s="17">
        <v>4.6700000762939498</v>
      </c>
      <c r="HN60" s="17">
        <v>5.0799999237060502</v>
      </c>
      <c r="HO60" s="17">
        <v>5.3600001335143999</v>
      </c>
      <c r="HP60" s="17">
        <v>5.7600002288818404</v>
      </c>
      <c r="HQ60" s="17">
        <v>5.2399997711181596</v>
      </c>
      <c r="HR60" s="17">
        <v>4.9099998474121103</v>
      </c>
      <c r="HS60" s="17">
        <v>4.78999996185303</v>
      </c>
      <c r="HT60" s="17">
        <v>4.5100002288818404</v>
      </c>
      <c r="HU60" s="17">
        <v>4.5599999427795401</v>
      </c>
      <c r="HV60" s="17">
        <v>4.9099998474121103</v>
      </c>
      <c r="HW60" s="17">
        <v>5.1100001335143999</v>
      </c>
      <c r="HX60" s="17">
        <v>5.4400000572204599</v>
      </c>
      <c r="HY60" s="17">
        <v>5.7199997901916504</v>
      </c>
      <c r="HZ60" s="17">
        <v>5.71000003814697</v>
      </c>
      <c r="IA60" s="17">
        <v>5.6500000953674299</v>
      </c>
      <c r="IB60" s="17">
        <v>6.0500001907348597</v>
      </c>
      <c r="IC60" s="17">
        <v>7.6999998092651403</v>
      </c>
      <c r="ID60" s="17">
        <v>8.1700000762939506</v>
      </c>
      <c r="IE60" s="17">
        <v>8.6400003433227504</v>
      </c>
      <c r="IF60" s="17">
        <v>8.8500003814697301</v>
      </c>
      <c r="IG60" s="17">
        <v>6.6399998664856001</v>
      </c>
      <c r="IH60" s="17">
        <v>8.0600004196166992</v>
      </c>
      <c r="II60" s="17">
        <v>8.3599996566772496</v>
      </c>
      <c r="IJ60" s="17">
        <v>8.5600004196166992</v>
      </c>
      <c r="IK60" s="17">
        <v>8.8400001525878906</v>
      </c>
      <c r="IL60" s="17"/>
      <c r="IM60" s="17"/>
      <c r="IN60" s="17">
        <v>9.3599996566772496</v>
      </c>
      <c r="IO60" s="17">
        <v>8.8299999237060494</v>
      </c>
      <c r="IP60" s="17">
        <v>8.4600000381469709</v>
      </c>
      <c r="IQ60" s="17">
        <v>8.7299995422363299</v>
      </c>
      <c r="IR60" s="17">
        <v>8.4600000381469709</v>
      </c>
      <c r="IS60" s="18">
        <v>8.6</v>
      </c>
      <c r="IT60" s="18">
        <v>8.69</v>
      </c>
      <c r="IU60" s="18">
        <v>9.0500000000000007</v>
      </c>
      <c r="IV60" s="18">
        <v>9.7100000000000009</v>
      </c>
      <c r="IW60" s="18">
        <v>10.4</v>
      </c>
      <c r="IX60" s="18">
        <v>10.39</v>
      </c>
      <c r="IY60" s="18">
        <v>10.210000000000001</v>
      </c>
      <c r="IZ60" s="19">
        <v>10.27</v>
      </c>
      <c r="JA60" s="20">
        <v>10.029999999999999</v>
      </c>
      <c r="JB60" s="20">
        <v>9.76</v>
      </c>
      <c r="JC60" s="20">
        <v>10.01</v>
      </c>
      <c r="JD60" s="20">
        <v>10.3</v>
      </c>
      <c r="JE60" s="20">
        <v>10.71</v>
      </c>
      <c r="JF60" s="21">
        <v>11.09</v>
      </c>
      <c r="JG60" s="22">
        <v>11.57</v>
      </c>
      <c r="JH60" s="22">
        <v>12</v>
      </c>
      <c r="JI60" s="20">
        <v>12.37</v>
      </c>
      <c r="JJ60" s="23">
        <v>12.41</v>
      </c>
      <c r="JK60" s="24">
        <v>12.19</v>
      </c>
      <c r="JL60" s="24">
        <v>11.87</v>
      </c>
      <c r="JM60" s="17">
        <v>11.71</v>
      </c>
      <c r="JN60" s="17">
        <v>11.9</v>
      </c>
      <c r="JO60" s="17">
        <v>12.02</v>
      </c>
      <c r="JP60" s="17">
        <v>11.75</v>
      </c>
      <c r="JQ60" s="17">
        <v>11.49</v>
      </c>
      <c r="JR60" s="17">
        <v>12.34</v>
      </c>
      <c r="JS60" s="17">
        <v>12.85</v>
      </c>
      <c r="JT60" s="17">
        <v>11.38</v>
      </c>
      <c r="JU60" s="17">
        <v>14.63</v>
      </c>
      <c r="JV60" s="18">
        <v>13.85</v>
      </c>
      <c r="JW60" s="18">
        <v>14.13</v>
      </c>
      <c r="JX60" s="18">
        <v>13.61</v>
      </c>
      <c r="JY60" s="18">
        <v>13.22</v>
      </c>
      <c r="JZ60" s="18">
        <v>12.78</v>
      </c>
      <c r="KA60" s="18">
        <v>12.58</v>
      </c>
      <c r="KB60" s="18">
        <v>12.87</v>
      </c>
      <c r="KC60" s="18">
        <v>12.99</v>
      </c>
      <c r="KD60" s="18">
        <v>13.3</v>
      </c>
      <c r="KE60" s="18">
        <v>13.61</v>
      </c>
      <c r="KF60" s="18">
        <v>13.92</v>
      </c>
      <c r="KG60" s="26">
        <v>13.9</v>
      </c>
      <c r="KH60" s="26">
        <v>14.26</v>
      </c>
      <c r="KI60" s="26">
        <v>14.17</v>
      </c>
      <c r="KJ60" s="26">
        <v>13.72</v>
      </c>
      <c r="KK60" s="26">
        <v>13.81</v>
      </c>
      <c r="KL60" s="18">
        <v>12.850000000000001</v>
      </c>
      <c r="KM60" s="26">
        <v>12.850000000000001</v>
      </c>
      <c r="KN60" s="18">
        <v>12.74</v>
      </c>
      <c r="KO60" s="18">
        <v>13.030000000000001</v>
      </c>
      <c r="KP60" s="18">
        <v>13.540000000000001</v>
      </c>
      <c r="KQ60" s="18">
        <v>14.05</v>
      </c>
      <c r="KR60" s="18">
        <v>14.58</v>
      </c>
      <c r="KS60" s="18">
        <v>14.700000000000001</v>
      </c>
      <c r="KT60" s="18">
        <v>14.440000000000001</v>
      </c>
      <c r="KU60" s="26">
        <v>14.030000000000001</v>
      </c>
      <c r="KV60" s="18">
        <v>13.47</v>
      </c>
      <c r="KW60" s="17">
        <v>13.020000000000001</v>
      </c>
      <c r="KX60" s="17">
        <v>13.4</v>
      </c>
      <c r="KY60" s="18">
        <v>13.73</v>
      </c>
      <c r="KZ60" s="17">
        <v>14.48</v>
      </c>
      <c r="LA60" s="17">
        <v>14.840000000000002</v>
      </c>
      <c r="LB60" s="17">
        <v>15.480000000000002</v>
      </c>
      <c r="LC60" s="17">
        <v>15.38</v>
      </c>
      <c r="LD60" s="17">
        <v>16.119999999999997</v>
      </c>
      <c r="LE60" s="17">
        <v>15.480000000000002</v>
      </c>
      <c r="LF60" s="17">
        <v>15.730000000000002</v>
      </c>
      <c r="LG60" s="18">
        <v>15.110000000000003</v>
      </c>
      <c r="LH60" s="18">
        <v>15.08</v>
      </c>
      <c r="LI60" s="18">
        <v>15.110000000000001</v>
      </c>
      <c r="LJ60" s="18">
        <v>14.21</v>
      </c>
      <c r="LK60" s="18">
        <v>14.39</v>
      </c>
      <c r="LL60" s="18">
        <v>14.24</v>
      </c>
      <c r="LM60" s="18">
        <v>14.440000000000001</v>
      </c>
      <c r="LN60" s="18">
        <v>14.780000000000001</v>
      </c>
      <c r="LO60" s="18">
        <v>14.88</v>
      </c>
      <c r="LP60" s="18">
        <v>15.120000000000001</v>
      </c>
      <c r="LQ60" s="18">
        <v>15.110000000000001</v>
      </c>
      <c r="LR60" s="18">
        <v>15.640000000000002</v>
      </c>
      <c r="LS60" s="18">
        <v>15.430000000000001</v>
      </c>
      <c r="LT60" s="18">
        <v>15.450000000000001</v>
      </c>
      <c r="LU60" s="18">
        <v>15.040000000000001</v>
      </c>
      <c r="LV60" s="17">
        <v>15.270000000000001</v>
      </c>
      <c r="LW60" s="17">
        <v>15.42</v>
      </c>
      <c r="LX60" s="17">
        <v>15.100000000000001</v>
      </c>
      <c r="LY60" s="17">
        <v>15.360000000000001</v>
      </c>
      <c r="LZ60" s="17">
        <v>15.76</v>
      </c>
      <c r="MA60" s="17">
        <v>15.7</v>
      </c>
      <c r="MB60" s="17">
        <v>16.86</v>
      </c>
      <c r="MC60" s="17">
        <v>16.579999999999998</v>
      </c>
      <c r="MD60" s="17">
        <v>15.860000000000001</v>
      </c>
      <c r="ME60" s="17">
        <v>16.64</v>
      </c>
      <c r="MF60" s="17">
        <v>16.77</v>
      </c>
      <c r="MG60" s="17">
        <v>15.69</v>
      </c>
      <c r="MH60" s="17">
        <v>15.42</v>
      </c>
      <c r="MI60" s="17">
        <v>15.290000000000001</v>
      </c>
      <c r="MJ60" s="17">
        <v>15.42</v>
      </c>
      <c r="MK60" s="17">
        <v>15.87</v>
      </c>
      <c r="ML60" s="17">
        <v>16.059999999999999</v>
      </c>
      <c r="MM60" s="27">
        <v>16.440000000000001</v>
      </c>
      <c r="MN60" s="27">
        <f>VLOOKUP(B60,[1]Sheet1!$A:$N,7,0)</f>
        <v>16.920000000000002</v>
      </c>
      <c r="MO60" s="27">
        <f>VLOOKUP(B60,[1]Sheet1!$A:$N,8,0)</f>
        <v>16.77</v>
      </c>
      <c r="MP60" s="27">
        <f>VLOOKUP(B60,[1]Sheet1!$A:$N,9,0)</f>
        <v>16.45</v>
      </c>
      <c r="MQ60" s="27">
        <f>VLOOKUP(B60,[1]Sheet1!$A:$N,10,0)</f>
        <v>17.059999999999999</v>
      </c>
      <c r="MR60" s="27">
        <f>VLOOKUP(B60,[1]Sheet1!$A:$N,11,0)</f>
        <v>16.82</v>
      </c>
      <c r="MS60" s="27">
        <f>VLOOKUP(B60,[1]Sheet1!$A:$N,12,0)</f>
        <v>16.12</v>
      </c>
      <c r="MT60" s="27">
        <f>VLOOKUP(B60,[1]Sheet1!$A:$N,13,0)</f>
        <v>15.69</v>
      </c>
      <c r="MU60" s="27">
        <f>VLOOKUP(B60,[1]Sheet1!$A:$N,14,0)</f>
        <v>15.390000000000002</v>
      </c>
    </row>
    <row r="61" spans="1:359" s="27" customFormat="1" ht="18.75" customHeight="1" x14ac:dyDescent="0.25">
      <c r="A61" s="8" t="s">
        <v>0</v>
      </c>
      <c r="B61" s="8">
        <v>50025</v>
      </c>
      <c r="C61" s="9" t="s">
        <v>20</v>
      </c>
      <c r="D61" s="10" t="s">
        <v>26</v>
      </c>
      <c r="E61" s="10" t="s">
        <v>26</v>
      </c>
      <c r="F61" s="11" t="s">
        <v>46</v>
      </c>
      <c r="G61" s="39" t="s">
        <v>98</v>
      </c>
      <c r="H61" s="41">
        <v>48.6</v>
      </c>
      <c r="I61" s="13" t="s">
        <v>2</v>
      </c>
      <c r="J61" s="28">
        <v>14.73</v>
      </c>
      <c r="K61" s="15">
        <v>16.43966</v>
      </c>
      <c r="L61" s="15">
        <v>80.769335999999996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>
        <v>3.6099998950958199</v>
      </c>
      <c r="BM61" s="18">
        <v>4.9000000953674299</v>
      </c>
      <c r="BN61" s="18"/>
      <c r="BO61" s="18">
        <v>5.78999996185303</v>
      </c>
      <c r="BP61" s="18">
        <v>5.3000001907348597</v>
      </c>
      <c r="BQ61" s="18">
        <v>2.9500000476837198</v>
      </c>
      <c r="BR61" s="18">
        <v>1.12999999523163</v>
      </c>
      <c r="BS61" s="18">
        <v>2.3499999046325701</v>
      </c>
      <c r="BT61" s="18">
        <v>3.3099999427795401</v>
      </c>
      <c r="BU61" s="18">
        <v>3.6300001144409202</v>
      </c>
      <c r="BV61" s="18">
        <v>3.8099999427795401</v>
      </c>
      <c r="BW61" s="18">
        <v>4.1550002098083496</v>
      </c>
      <c r="BX61" s="18">
        <v>4.0050001144409197</v>
      </c>
      <c r="BY61" s="17">
        <v>5.1449999809265101</v>
      </c>
      <c r="BZ61" s="17">
        <v>6.2550001144409197</v>
      </c>
      <c r="CA61" s="17">
        <v>6.7150001525878897</v>
      </c>
      <c r="CB61" s="17">
        <v>5.2600002288818404</v>
      </c>
      <c r="CC61" s="17">
        <v>4.5599999427795401</v>
      </c>
      <c r="CD61" s="17">
        <v>4.66499996185303</v>
      </c>
      <c r="CE61" s="17">
        <v>3.0550000667571999</v>
      </c>
      <c r="CF61" s="17">
        <v>3.8450000286102299</v>
      </c>
      <c r="CG61" s="17">
        <v>4.3150000572204599</v>
      </c>
      <c r="CH61" s="17">
        <v>5.9250001907348597</v>
      </c>
      <c r="CI61" s="17">
        <v>6.8949999809265101</v>
      </c>
      <c r="CJ61" s="17"/>
      <c r="CK61" s="17">
        <v>8.9300003051757795</v>
      </c>
      <c r="CL61" s="17">
        <v>8.8050003051757795</v>
      </c>
      <c r="CM61" s="17">
        <v>8.5950002670288104</v>
      </c>
      <c r="CN61" s="17">
        <v>8.3850002288818395</v>
      </c>
      <c r="CO61" s="17">
        <v>7.3650002479553196</v>
      </c>
      <c r="CP61" s="17">
        <v>6.3450002670287997</v>
      </c>
      <c r="CQ61" s="17">
        <v>7.8800001144409197</v>
      </c>
      <c r="CR61" s="17"/>
      <c r="CS61" s="17">
        <v>2.8450000286102299</v>
      </c>
      <c r="CT61" s="17"/>
      <c r="CU61" s="17">
        <v>7.6750001907348597</v>
      </c>
      <c r="CV61" s="17"/>
      <c r="CW61" s="17">
        <v>9.1199998855590803</v>
      </c>
      <c r="CX61" s="17"/>
      <c r="CY61" s="17">
        <v>9.4049997329711896</v>
      </c>
      <c r="CZ61" s="17"/>
      <c r="DA61" s="17">
        <v>6.5250000953674299</v>
      </c>
      <c r="DB61" s="17"/>
      <c r="DC61" s="17">
        <v>4.1999998092651403</v>
      </c>
      <c r="DD61" s="17"/>
      <c r="DE61" s="17">
        <v>5.4400000572204599</v>
      </c>
      <c r="DF61" s="17"/>
      <c r="DG61" s="17"/>
      <c r="DH61" s="17"/>
      <c r="DI61" s="17">
        <v>7.0500001907348597</v>
      </c>
      <c r="DJ61" s="17"/>
      <c r="DK61" s="17"/>
      <c r="DL61" s="17"/>
      <c r="DM61" s="17"/>
      <c r="DN61" s="17"/>
      <c r="DO61" s="17">
        <v>2.7799999713897701</v>
      </c>
      <c r="DP61" s="17"/>
      <c r="DQ61" s="17"/>
      <c r="DR61" s="17"/>
      <c r="DS61" s="17"/>
      <c r="DT61" s="17"/>
      <c r="DU61" s="17">
        <v>6.5300002098083496</v>
      </c>
      <c r="DV61" s="17"/>
      <c r="DW61" s="17"/>
      <c r="DX61" s="17"/>
      <c r="DY61" s="17"/>
      <c r="DZ61" s="17"/>
      <c r="EA61" s="17">
        <v>2.7599999904632599</v>
      </c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>
        <v>2.9900000095367401</v>
      </c>
      <c r="EN61" s="17"/>
      <c r="EO61" s="17"/>
      <c r="EP61" s="17">
        <v>4.28999996185303</v>
      </c>
      <c r="EQ61" s="17">
        <v>3.8699998855590798</v>
      </c>
      <c r="ER61" s="17"/>
      <c r="ES61" s="17">
        <v>5.8099999427795401</v>
      </c>
      <c r="ET61" s="17"/>
      <c r="EU61" s="17">
        <v>3.4700000286102299</v>
      </c>
      <c r="EV61" s="17"/>
      <c r="EW61" s="17">
        <v>2.53999996185303</v>
      </c>
      <c r="EX61" s="17"/>
      <c r="EY61" s="17">
        <v>2.5599999427795401</v>
      </c>
      <c r="EZ61" s="17"/>
      <c r="FA61" s="17"/>
      <c r="FB61" s="17">
        <v>5.75</v>
      </c>
      <c r="FC61" s="17">
        <v>7</v>
      </c>
      <c r="FD61" s="17"/>
      <c r="FE61" s="17">
        <v>6.5300002098083496</v>
      </c>
      <c r="FF61" s="17"/>
      <c r="FG61" s="17">
        <v>8.1199998855590803</v>
      </c>
      <c r="FH61" s="17"/>
      <c r="FI61" s="17">
        <v>5.0500001907348597</v>
      </c>
      <c r="FJ61" s="17"/>
      <c r="FK61" s="17">
        <v>2.2400000095367401</v>
      </c>
      <c r="FL61" s="17"/>
      <c r="FM61" s="17"/>
      <c r="FN61" s="17"/>
      <c r="FO61" s="17"/>
      <c r="FP61" s="17"/>
      <c r="FQ61" s="17">
        <v>7.1599998474121103</v>
      </c>
      <c r="FR61" s="17"/>
      <c r="FS61" s="17"/>
      <c r="FT61" s="17"/>
      <c r="FU61" s="17"/>
      <c r="FV61" s="17"/>
      <c r="FW61" s="17">
        <v>2.4900000095367401</v>
      </c>
      <c r="FX61" s="17"/>
      <c r="FY61" s="17"/>
      <c r="FZ61" s="17"/>
      <c r="GA61" s="17"/>
      <c r="GB61" s="17"/>
      <c r="GC61" s="17">
        <v>6.5599999427795401</v>
      </c>
      <c r="GD61" s="17"/>
      <c r="GE61" s="17"/>
      <c r="GF61" s="17">
        <v>4.9899997711181596</v>
      </c>
      <c r="GG61" s="17">
        <v>5.1300001144409197</v>
      </c>
      <c r="GH61" s="17"/>
      <c r="GI61" s="17"/>
      <c r="GJ61" s="17">
        <v>5.3699998855590803</v>
      </c>
      <c r="GK61" s="17">
        <v>5.8899998664856001</v>
      </c>
      <c r="GL61" s="17"/>
      <c r="GM61" s="17">
        <v>7.53999996185303</v>
      </c>
      <c r="GN61" s="17">
        <v>8.2399997711181605</v>
      </c>
      <c r="GO61" s="17">
        <v>8.1899995803833008</v>
      </c>
      <c r="GP61" s="17"/>
      <c r="GQ61" s="17"/>
      <c r="GR61" s="17"/>
      <c r="GS61" s="17">
        <v>6.25</v>
      </c>
      <c r="GT61" s="17"/>
      <c r="GU61" s="17">
        <v>5.1900000572204599</v>
      </c>
      <c r="GV61" s="17"/>
      <c r="GW61" s="17">
        <v>6.8299999237060502</v>
      </c>
      <c r="GX61" s="17"/>
      <c r="GY61" s="17">
        <v>7.9400000572204599</v>
      </c>
      <c r="GZ61" s="17"/>
      <c r="HA61" s="17">
        <v>8.9399995803833008</v>
      </c>
      <c r="HB61" s="17"/>
      <c r="HC61" s="17">
        <v>10.039999961853001</v>
      </c>
      <c r="HD61" s="17"/>
      <c r="HE61" s="17">
        <v>7.4899997711181596</v>
      </c>
      <c r="HF61" s="17"/>
      <c r="HG61" s="17">
        <v>4.0999999046325701</v>
      </c>
      <c r="HH61" s="17"/>
      <c r="HI61" s="17">
        <v>7.1399998664856001</v>
      </c>
      <c r="HJ61" s="17">
        <v>7.8299999237060502</v>
      </c>
      <c r="HK61" s="17">
        <v>8.5500001907348597</v>
      </c>
      <c r="HL61" s="17">
        <v>8.75</v>
      </c>
      <c r="HM61" s="17">
        <v>8.6899995803833008</v>
      </c>
      <c r="HN61" s="17">
        <v>9.5</v>
      </c>
      <c r="HO61" s="17">
        <v>10.050000190734901</v>
      </c>
      <c r="HP61" s="17">
        <v>9.1899995803833008</v>
      </c>
      <c r="HQ61" s="17">
        <v>8.9499998092651403</v>
      </c>
      <c r="HR61" s="17">
        <v>7.0500001907348597</v>
      </c>
      <c r="HS61" s="17">
        <v>6.5500001907348597</v>
      </c>
      <c r="HT61" s="17">
        <v>7.4000000953674299</v>
      </c>
      <c r="HU61" s="17">
        <v>8.0699996948242205</v>
      </c>
      <c r="HV61" s="17">
        <v>9.75</v>
      </c>
      <c r="HW61" s="17">
        <v>10.6499996185303</v>
      </c>
      <c r="HX61" s="17">
        <v>11.2600002288818</v>
      </c>
      <c r="HY61" s="17">
        <v>11.180000305175801</v>
      </c>
      <c r="HZ61" s="17">
        <v>11.1300001144409</v>
      </c>
      <c r="IA61" s="17">
        <v>11.189999580383301</v>
      </c>
      <c r="IB61" s="17">
        <v>11.949999809265099</v>
      </c>
      <c r="IC61" s="17">
        <v>12.050000190734901</v>
      </c>
      <c r="ID61" s="17">
        <v>13.0100002288818</v>
      </c>
      <c r="IE61" s="17">
        <v>13.579999923706101</v>
      </c>
      <c r="IF61" s="17">
        <v>13.1499996185303</v>
      </c>
      <c r="IG61" s="17">
        <v>13.4799995422363</v>
      </c>
      <c r="IH61" s="17">
        <v>13.789999961853001</v>
      </c>
      <c r="II61" s="17">
        <v>14.319999694824199</v>
      </c>
      <c r="IJ61" s="17">
        <v>14.3800001144409</v>
      </c>
      <c r="IK61" s="17">
        <v>14.060000419616699</v>
      </c>
      <c r="IL61" s="17"/>
      <c r="IM61" s="17"/>
      <c r="IN61" s="17">
        <v>14.189999580383301</v>
      </c>
      <c r="IO61" s="17">
        <v>13.579999923706101</v>
      </c>
      <c r="IP61" s="17">
        <v>13.1499996185303</v>
      </c>
      <c r="IQ61" s="17">
        <v>13.4899997711182</v>
      </c>
      <c r="IR61" s="17">
        <v>11.9899997711182</v>
      </c>
      <c r="IS61" s="18">
        <v>13.39</v>
      </c>
      <c r="IT61" s="18">
        <v>13.76</v>
      </c>
      <c r="IU61" s="18">
        <v>14.38</v>
      </c>
      <c r="IV61" s="18">
        <v>14.35</v>
      </c>
      <c r="IW61" s="18">
        <v>14.67</v>
      </c>
      <c r="IX61" s="18">
        <v>14.41</v>
      </c>
      <c r="IY61" s="18">
        <v>14.78</v>
      </c>
      <c r="IZ61" s="19">
        <v>14.48</v>
      </c>
      <c r="JA61" s="20">
        <v>14.08</v>
      </c>
      <c r="JB61" s="20">
        <v>14.09</v>
      </c>
      <c r="JC61" s="20">
        <v>13.8</v>
      </c>
      <c r="JD61" s="20">
        <v>13.83</v>
      </c>
      <c r="JE61" s="20">
        <v>15</v>
      </c>
      <c r="JF61" s="21">
        <v>15.49</v>
      </c>
      <c r="JG61" s="22">
        <v>15.96</v>
      </c>
      <c r="JH61" s="22">
        <v>16.13</v>
      </c>
      <c r="JI61" s="20">
        <v>16.07</v>
      </c>
      <c r="JJ61" s="23">
        <v>16.260000000000002</v>
      </c>
      <c r="JK61" s="24">
        <v>16.18</v>
      </c>
      <c r="JL61" s="24">
        <v>15.59</v>
      </c>
      <c r="JM61" s="17">
        <v>15.31</v>
      </c>
      <c r="JN61" s="17">
        <v>15.01</v>
      </c>
      <c r="JO61" s="17">
        <v>14.95</v>
      </c>
      <c r="JP61" s="17">
        <v>14.46</v>
      </c>
      <c r="JQ61" s="17">
        <v>15.37</v>
      </c>
      <c r="JR61" s="17">
        <v>16.440000000000001</v>
      </c>
      <c r="JS61" s="17">
        <v>16.84</v>
      </c>
      <c r="JT61" s="17">
        <v>16.29</v>
      </c>
      <c r="JU61" s="17">
        <v>17.8</v>
      </c>
      <c r="JV61" s="18">
        <v>17.04</v>
      </c>
      <c r="JW61" s="18">
        <v>18.29</v>
      </c>
      <c r="JX61" s="18">
        <v>17.05</v>
      </c>
      <c r="JY61" s="18">
        <v>15.92</v>
      </c>
      <c r="JZ61" s="18">
        <v>15.29</v>
      </c>
      <c r="KA61" s="18">
        <v>15.9</v>
      </c>
      <c r="KB61" s="18">
        <v>16.5</v>
      </c>
      <c r="KC61" s="18">
        <v>17.43</v>
      </c>
      <c r="KD61" s="18">
        <v>18.010000000000002</v>
      </c>
      <c r="KE61" s="18">
        <v>18.59</v>
      </c>
      <c r="KF61" s="18">
        <v>19.170000000000002</v>
      </c>
      <c r="KG61" s="26">
        <v>18.25</v>
      </c>
      <c r="KH61" s="26">
        <v>14.09</v>
      </c>
      <c r="KI61" s="26">
        <v>17.239999999999998</v>
      </c>
      <c r="KJ61" s="26">
        <v>16.739999999999998</v>
      </c>
      <c r="KK61" s="26">
        <v>16.739999999999998</v>
      </c>
      <c r="KL61" s="18">
        <v>15.190000000000001</v>
      </c>
      <c r="KM61" s="26">
        <v>15.71</v>
      </c>
      <c r="KN61" s="18">
        <v>15.619999999999997</v>
      </c>
      <c r="KO61" s="18">
        <v>15.57</v>
      </c>
      <c r="KP61" s="18">
        <v>16.149999999999999</v>
      </c>
      <c r="KQ61" s="18">
        <v>16.689999999999998</v>
      </c>
      <c r="KR61" s="18">
        <v>16.59</v>
      </c>
      <c r="KS61" s="18">
        <v>16.809999999999999</v>
      </c>
      <c r="KT61" s="18">
        <v>16.55</v>
      </c>
      <c r="KU61" s="26">
        <v>16.27</v>
      </c>
      <c r="KV61" s="18">
        <v>15.529999999999998</v>
      </c>
      <c r="KW61" s="17">
        <v>14.41</v>
      </c>
      <c r="KX61" s="17">
        <v>13.809999999999999</v>
      </c>
      <c r="KY61" s="18">
        <v>14.440000000000001</v>
      </c>
      <c r="KZ61" s="17">
        <v>14.98</v>
      </c>
      <c r="LA61" s="17">
        <v>14.66</v>
      </c>
      <c r="LB61" s="17">
        <v>14.84</v>
      </c>
      <c r="LC61" s="17">
        <v>15.29</v>
      </c>
      <c r="LD61" s="17">
        <v>15.89</v>
      </c>
      <c r="LE61" s="17">
        <v>16.079999999999998</v>
      </c>
      <c r="LF61" s="17">
        <v>14.98</v>
      </c>
      <c r="LG61" s="18">
        <v>14.27</v>
      </c>
      <c r="LH61" s="18">
        <v>15.09</v>
      </c>
      <c r="LI61" s="18">
        <v>15.09</v>
      </c>
      <c r="LJ61" s="18">
        <v>14.14</v>
      </c>
      <c r="LK61" s="18">
        <v>13.780000000000001</v>
      </c>
      <c r="LL61" s="18">
        <v>13.690000000000001</v>
      </c>
      <c r="LM61" s="18">
        <v>14.440000000000001</v>
      </c>
      <c r="LN61" s="18">
        <v>14.739999999999998</v>
      </c>
      <c r="LO61" s="18">
        <v>15.190000000000001</v>
      </c>
      <c r="LP61" s="18">
        <v>15.190000000000001</v>
      </c>
      <c r="LQ61" s="18">
        <v>14.870000000000001</v>
      </c>
      <c r="LR61" s="18">
        <v>15.010000000000002</v>
      </c>
      <c r="LS61" s="18">
        <v>15.190000000000001</v>
      </c>
      <c r="LT61" s="18">
        <v>15.14</v>
      </c>
      <c r="LU61" s="18">
        <v>14.64</v>
      </c>
      <c r="LV61" s="17">
        <v>15.16</v>
      </c>
      <c r="LW61" s="17">
        <v>14.629999999999999</v>
      </c>
      <c r="LX61" s="17">
        <v>14.229999999999999</v>
      </c>
      <c r="LY61" s="17">
        <v>15.08</v>
      </c>
      <c r="LZ61" s="17">
        <v>15.349999999999998</v>
      </c>
      <c r="MA61" s="17">
        <v>15.99</v>
      </c>
      <c r="MB61" s="17">
        <v>15.879999999999999</v>
      </c>
      <c r="MC61" s="17">
        <v>15.649999999999999</v>
      </c>
      <c r="MD61" s="17">
        <v>15.68</v>
      </c>
      <c r="ME61" s="17">
        <v>16.16</v>
      </c>
      <c r="MF61" s="17">
        <v>15.95</v>
      </c>
      <c r="MG61" s="17">
        <v>14.899999999999999</v>
      </c>
      <c r="MH61" s="17">
        <v>14.51</v>
      </c>
      <c r="MI61" s="17">
        <v>14.02</v>
      </c>
      <c r="MJ61" s="17">
        <v>14.16</v>
      </c>
      <c r="MK61" s="17">
        <v>14.76</v>
      </c>
      <c r="ML61" s="17">
        <v>15.01</v>
      </c>
      <c r="MM61" s="27">
        <v>15.55</v>
      </c>
      <c r="MN61" s="27">
        <f>VLOOKUP(B61,[1]Sheet1!$A:$N,7,0)</f>
        <v>15.41</v>
      </c>
      <c r="MO61" s="27">
        <f>VLOOKUP(B61,[1]Sheet1!$A:$N,8,0)</f>
        <v>15.95</v>
      </c>
      <c r="MP61" s="27">
        <f>VLOOKUP(B61,[1]Sheet1!$A:$N,9,0)</f>
        <v>5.83</v>
      </c>
      <c r="MQ61" s="27">
        <f>VLOOKUP(B61,[1]Sheet1!$A:$N,10,0)</f>
        <v>15.46</v>
      </c>
      <c r="MR61" s="27">
        <f>VLOOKUP(B61,[1]Sheet1!$A:$N,11,0)</f>
        <v>15.08</v>
      </c>
      <c r="MS61" s="27">
        <f>VLOOKUP(B61,[1]Sheet1!$A:$N,12,0)</f>
        <v>14.72</v>
      </c>
      <c r="MT61" s="27">
        <f>VLOOKUP(B61,[1]Sheet1!$A:$N,13,0)</f>
        <v>14.53</v>
      </c>
      <c r="MU61" s="27">
        <f>VLOOKUP(B61,[1]Sheet1!$A:$N,14,0)</f>
        <v>13.42</v>
      </c>
    </row>
    <row r="62" spans="1:359" s="27" customFormat="1" ht="18.75" customHeight="1" x14ac:dyDescent="0.25">
      <c r="A62" s="8" t="s">
        <v>0</v>
      </c>
      <c r="B62" s="8">
        <v>50026</v>
      </c>
      <c r="C62" s="9" t="s">
        <v>20</v>
      </c>
      <c r="D62" s="10" t="s">
        <v>39</v>
      </c>
      <c r="E62" s="10" t="s">
        <v>108</v>
      </c>
      <c r="F62" s="11" t="s">
        <v>40</v>
      </c>
      <c r="G62" s="39" t="s">
        <v>98</v>
      </c>
      <c r="H62" s="41">
        <v>143.08000000000001</v>
      </c>
      <c r="I62" s="13" t="s">
        <v>2</v>
      </c>
      <c r="J62" s="28">
        <v>8.7200000000000006</v>
      </c>
      <c r="K62" s="15">
        <v>16.322153</v>
      </c>
      <c r="L62" s="15">
        <v>80.967690000000005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>
        <v>5.5250000953674299</v>
      </c>
      <c r="BL62" s="18">
        <v>5.7300000190734899</v>
      </c>
      <c r="BM62" s="18">
        <v>6.0349998474121103</v>
      </c>
      <c r="BN62" s="18"/>
      <c r="BO62" s="18">
        <v>7.0050001144409197</v>
      </c>
      <c r="BP62" s="18">
        <v>7.1349997520446804</v>
      </c>
      <c r="BQ62" s="18">
        <v>6.3849997520446804</v>
      </c>
      <c r="BR62" s="18">
        <v>5.5149998664856001</v>
      </c>
      <c r="BS62" s="18"/>
      <c r="BT62" s="18"/>
      <c r="BU62" s="18">
        <v>5.3949999809265101</v>
      </c>
      <c r="BV62" s="18">
        <v>4.2750000953674299</v>
      </c>
      <c r="BW62" s="18">
        <v>5.8249998092651403</v>
      </c>
      <c r="BX62" s="18">
        <v>5.8550000190734899</v>
      </c>
      <c r="BY62" s="17">
        <v>6.6950001716613796</v>
      </c>
      <c r="BZ62" s="17">
        <v>7.0149998664856001</v>
      </c>
      <c r="CA62" s="17">
        <v>7.5050001144409197</v>
      </c>
      <c r="CB62" s="17">
        <v>7.75</v>
      </c>
      <c r="CC62" s="17">
        <v>7.3200001716613796</v>
      </c>
      <c r="CD62" s="17">
        <v>6.7950000762939498</v>
      </c>
      <c r="CE62" s="17">
        <v>6.1849999427795401</v>
      </c>
      <c r="CF62" s="17">
        <v>5.9850001335143999</v>
      </c>
      <c r="CG62" s="17">
        <v>5.6849999427795401</v>
      </c>
      <c r="CH62" s="17">
        <v>6.9850001335143999</v>
      </c>
      <c r="CI62" s="17">
        <v>7.3949999809265101</v>
      </c>
      <c r="CJ62" s="17"/>
      <c r="CK62" s="17">
        <v>9.4549999237060494</v>
      </c>
      <c r="CL62" s="17">
        <v>8.5050001144409197</v>
      </c>
      <c r="CM62" s="17">
        <v>8.4849996566772496</v>
      </c>
      <c r="CN62" s="17">
        <v>8.4649991989135795</v>
      </c>
      <c r="CO62" s="17">
        <v>8.8050003051757795</v>
      </c>
      <c r="CP62" s="17">
        <v>7.3449997901916504</v>
      </c>
      <c r="CQ62" s="17"/>
      <c r="CR62" s="17"/>
      <c r="CS62" s="17">
        <v>7.2550001144409197</v>
      </c>
      <c r="CT62" s="17"/>
      <c r="CU62" s="17">
        <v>8.9449996948242205</v>
      </c>
      <c r="CV62" s="17"/>
      <c r="CW62" s="17">
        <v>8.625</v>
      </c>
      <c r="CX62" s="17"/>
      <c r="CY62" s="17">
        <v>9.5649995803833008</v>
      </c>
      <c r="CZ62" s="17"/>
      <c r="DA62" s="17">
        <v>8.5050001144409197</v>
      </c>
      <c r="DB62" s="17"/>
      <c r="DC62" s="17">
        <v>7.6399998664856001</v>
      </c>
      <c r="DD62" s="17"/>
      <c r="DE62" s="17">
        <v>6.9200000762939498</v>
      </c>
      <c r="DF62" s="17"/>
      <c r="DG62" s="17"/>
      <c r="DH62" s="17"/>
      <c r="DI62" s="17">
        <v>8.9499998092651403</v>
      </c>
      <c r="DJ62" s="17"/>
      <c r="DK62" s="17"/>
      <c r="DL62" s="17"/>
      <c r="DM62" s="17"/>
      <c r="DN62" s="17"/>
      <c r="DO62" s="17">
        <v>6.5999999046325701</v>
      </c>
      <c r="DP62" s="17"/>
      <c r="DQ62" s="17"/>
      <c r="DR62" s="17"/>
      <c r="DS62" s="17"/>
      <c r="DT62" s="17"/>
      <c r="DU62" s="17">
        <v>7.6900000572204599</v>
      </c>
      <c r="DV62" s="17"/>
      <c r="DW62" s="17"/>
      <c r="DX62" s="17"/>
      <c r="DY62" s="17"/>
      <c r="DZ62" s="17"/>
      <c r="EA62" s="17">
        <v>6.0700001716613796</v>
      </c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>
        <v>5.5300002098083496</v>
      </c>
      <c r="EO62" s="17"/>
      <c r="EP62" s="17">
        <v>6.0199999809265101</v>
      </c>
      <c r="EQ62" s="17">
        <v>5.8699998855590803</v>
      </c>
      <c r="ER62" s="17"/>
      <c r="ES62" s="17">
        <v>6.3889999389648402</v>
      </c>
      <c r="ET62" s="17"/>
      <c r="EU62" s="17">
        <v>6.1900000572204599</v>
      </c>
      <c r="EV62" s="17"/>
      <c r="EW62" s="17">
        <v>5.9200000762939498</v>
      </c>
      <c r="EX62" s="17"/>
      <c r="EY62" s="17">
        <v>5.4099998474121103</v>
      </c>
      <c r="EZ62" s="17"/>
      <c r="FA62" s="17"/>
      <c r="FB62" s="17">
        <v>6</v>
      </c>
      <c r="FC62" s="17">
        <v>6.53999996185303</v>
      </c>
      <c r="FD62" s="17"/>
      <c r="FE62" s="17">
        <v>6.4899997711181596</v>
      </c>
      <c r="FF62" s="17"/>
      <c r="FG62" s="17">
        <v>8.3500003814697301</v>
      </c>
      <c r="FH62" s="17"/>
      <c r="FI62" s="17">
        <v>7.4800000190734899</v>
      </c>
      <c r="FJ62" s="17"/>
      <c r="FK62" s="17">
        <v>7.1500000953674299</v>
      </c>
      <c r="FL62" s="17"/>
      <c r="FM62" s="17">
        <v>6.0199999809265101</v>
      </c>
      <c r="FN62" s="17"/>
      <c r="FO62" s="17">
        <v>7.3200001716613796</v>
      </c>
      <c r="FP62" s="17"/>
      <c r="FQ62" s="17">
        <v>7.7300000190734899</v>
      </c>
      <c r="FR62" s="17"/>
      <c r="FS62" s="17">
        <v>7.4400000572204599</v>
      </c>
      <c r="FT62" s="17">
        <v>6.6999998092651403</v>
      </c>
      <c r="FU62" s="17">
        <v>5.5700001716613796</v>
      </c>
      <c r="FV62" s="17"/>
      <c r="FW62" s="17">
        <v>6.0100002288818404</v>
      </c>
      <c r="FX62" s="17"/>
      <c r="FY62" s="17">
        <v>5.5999999046325701</v>
      </c>
      <c r="FZ62" s="17"/>
      <c r="GA62" s="17">
        <v>5.8099999427795401</v>
      </c>
      <c r="GB62" s="17"/>
      <c r="GC62" s="17">
        <v>7.6199998855590803</v>
      </c>
      <c r="GD62" s="17"/>
      <c r="GE62" s="17">
        <v>7.5999999046325701</v>
      </c>
      <c r="GF62" s="17"/>
      <c r="GG62" s="17">
        <v>6.6199998855590803</v>
      </c>
      <c r="GH62" s="17"/>
      <c r="GI62" s="17">
        <v>6.3899998664856001</v>
      </c>
      <c r="GJ62" s="17"/>
      <c r="GK62" s="17">
        <v>6.0199999809265101</v>
      </c>
      <c r="GL62" s="17">
        <v>6.8800001144409197</v>
      </c>
      <c r="GM62" s="17">
        <v>7.1199998855590803</v>
      </c>
      <c r="GN62" s="17">
        <v>7.3800001144409197</v>
      </c>
      <c r="GO62" s="17">
        <v>7.5500001907348597</v>
      </c>
      <c r="GP62" s="17">
        <v>8.1000003814697301</v>
      </c>
      <c r="GQ62" s="17">
        <v>8.6999998092651403</v>
      </c>
      <c r="GR62" s="17">
        <v>8</v>
      </c>
      <c r="GS62" s="17">
        <v>7.4200000762939498</v>
      </c>
      <c r="GT62" s="17">
        <v>7</v>
      </c>
      <c r="GU62" s="17">
        <v>6.9400000572204599</v>
      </c>
      <c r="GV62" s="17"/>
      <c r="GW62" s="17">
        <v>6.9699997901916504</v>
      </c>
      <c r="GX62" s="17">
        <v>7</v>
      </c>
      <c r="GY62" s="17">
        <v>7.5199999809265101</v>
      </c>
      <c r="GZ62" s="17">
        <v>7.7699999809265101</v>
      </c>
      <c r="HA62" s="17">
        <v>8.1199998855590803</v>
      </c>
      <c r="HB62" s="17">
        <v>8.7200002670288104</v>
      </c>
      <c r="HC62" s="17">
        <v>9.4399995803833008</v>
      </c>
      <c r="HD62" s="17">
        <v>8.1700000762939506</v>
      </c>
      <c r="HE62" s="17">
        <v>7.5100002288818404</v>
      </c>
      <c r="HF62" s="17">
        <v>7.1900000572204599</v>
      </c>
      <c r="HG62" s="17">
        <v>6.9499998092651403</v>
      </c>
      <c r="HH62" s="17"/>
      <c r="HI62" s="17">
        <v>5.4699997901916504</v>
      </c>
      <c r="HJ62" s="17">
        <v>7.1500000953674299</v>
      </c>
      <c r="HK62" s="17">
        <v>9.8800001144409197</v>
      </c>
      <c r="HL62" s="17">
        <v>8.3199996948242205</v>
      </c>
      <c r="HM62" s="17">
        <v>8.3699998855590803</v>
      </c>
      <c r="HN62" s="17">
        <v>9.1899995803833008</v>
      </c>
      <c r="HO62" s="17">
        <v>10.6300001144409</v>
      </c>
      <c r="HP62" s="17">
        <v>8.8900003433227504</v>
      </c>
      <c r="HQ62" s="17">
        <v>7.7199997901916504</v>
      </c>
      <c r="HR62" s="17">
        <v>7.0999999046325701</v>
      </c>
      <c r="HS62" s="17">
        <v>6.4200000762939498</v>
      </c>
      <c r="HT62" s="17">
        <v>6.5199999809265101</v>
      </c>
      <c r="HU62" s="17">
        <v>6.6599998474121103</v>
      </c>
      <c r="HV62" s="17">
        <v>6.53999996185303</v>
      </c>
      <c r="HW62" s="17">
        <v>6.7800002098083496</v>
      </c>
      <c r="HX62" s="17">
        <v>7.3200001716613796</v>
      </c>
      <c r="HY62" s="17">
        <v>10.3999996185303</v>
      </c>
      <c r="HZ62" s="17">
        <v>5.4299998283386204</v>
      </c>
      <c r="IA62" s="17">
        <v>8.1700000762939506</v>
      </c>
      <c r="IB62" s="17">
        <v>9.2899999618530291</v>
      </c>
      <c r="IC62" s="17">
        <v>9.1499996185302699</v>
      </c>
      <c r="ID62" s="17">
        <v>10.050000190734901</v>
      </c>
      <c r="IE62" s="17">
        <v>11.9700002670288</v>
      </c>
      <c r="IF62" s="17">
        <v>12.199999809265099</v>
      </c>
      <c r="IG62" s="17">
        <v>11.1199998855591</v>
      </c>
      <c r="IH62" s="17">
        <v>10.7799997329712</v>
      </c>
      <c r="II62" s="17">
        <v>11.039999961853001</v>
      </c>
      <c r="IJ62" s="17">
        <v>11.3900003433228</v>
      </c>
      <c r="IK62" s="17">
        <v>11.1599998474121</v>
      </c>
      <c r="IL62" s="17"/>
      <c r="IM62" s="17"/>
      <c r="IN62" s="17">
        <v>13.2700004577637</v>
      </c>
      <c r="IO62" s="17">
        <v>11.8800001144409</v>
      </c>
      <c r="IP62" s="17">
        <v>12.1300001144409</v>
      </c>
      <c r="IQ62" s="17">
        <v>12.7200002670288</v>
      </c>
      <c r="IR62" s="17">
        <v>10.710000038146999</v>
      </c>
      <c r="IS62" s="18">
        <v>10.99</v>
      </c>
      <c r="IT62" s="18">
        <v>10.82</v>
      </c>
      <c r="IU62" s="18">
        <v>10.99</v>
      </c>
      <c r="IV62" s="18">
        <v>9.19</v>
      </c>
      <c r="IW62" s="18">
        <v>9.4600000000000009</v>
      </c>
      <c r="IX62" s="18">
        <v>9.4600000000000009</v>
      </c>
      <c r="IY62" s="18">
        <v>10.23</v>
      </c>
      <c r="IZ62" s="19">
        <v>12.65</v>
      </c>
      <c r="JA62" s="20">
        <v>12.71</v>
      </c>
      <c r="JB62" s="20">
        <v>7.05</v>
      </c>
      <c r="JC62" s="20">
        <v>9.6999999999999993</v>
      </c>
      <c r="JD62" s="20">
        <v>12.11</v>
      </c>
      <c r="JE62" s="20">
        <v>9.81</v>
      </c>
      <c r="JF62" s="21">
        <v>9.82</v>
      </c>
      <c r="JG62" s="22">
        <v>10.54</v>
      </c>
      <c r="JH62" s="22">
        <v>10.65</v>
      </c>
      <c r="JI62" s="20">
        <v>10.92</v>
      </c>
      <c r="JJ62" s="23">
        <v>13.69</v>
      </c>
      <c r="JK62" s="24">
        <v>14.01</v>
      </c>
      <c r="JL62" s="24">
        <v>13.4</v>
      </c>
      <c r="JM62" s="17">
        <v>11.12</v>
      </c>
      <c r="JN62" s="17">
        <v>11.31</v>
      </c>
      <c r="JO62" s="17">
        <v>13.55</v>
      </c>
      <c r="JP62" s="17">
        <v>12.54</v>
      </c>
      <c r="JQ62" s="17">
        <v>10.44</v>
      </c>
      <c r="JR62" s="17">
        <v>10.94</v>
      </c>
      <c r="JS62" s="17">
        <v>11.32</v>
      </c>
      <c r="JT62" s="17">
        <v>11.65</v>
      </c>
      <c r="JU62" s="17">
        <v>12.95</v>
      </c>
      <c r="JV62" s="18">
        <v>12.16</v>
      </c>
      <c r="JW62" s="18">
        <v>16.45</v>
      </c>
      <c r="JX62" s="18">
        <v>12.36</v>
      </c>
      <c r="JY62" s="18">
        <v>11.27</v>
      </c>
      <c r="JZ62" s="18">
        <v>10.71</v>
      </c>
      <c r="KA62" s="18">
        <v>10.19</v>
      </c>
      <c r="KB62" s="18">
        <v>13.38</v>
      </c>
      <c r="KC62" s="18">
        <v>13.31</v>
      </c>
      <c r="KD62" s="18">
        <v>13.2</v>
      </c>
      <c r="KE62" s="18">
        <v>13.09</v>
      </c>
      <c r="KF62" s="18">
        <v>12.98</v>
      </c>
      <c r="KG62" s="26">
        <v>12.09</v>
      </c>
      <c r="KH62" s="26">
        <v>15.36</v>
      </c>
      <c r="KI62" s="26">
        <v>15.34</v>
      </c>
      <c r="KJ62" s="26">
        <v>12.28</v>
      </c>
      <c r="KK62" s="26">
        <v>9.24</v>
      </c>
      <c r="KL62" s="18">
        <v>12.85</v>
      </c>
      <c r="KM62" s="26">
        <v>13.69</v>
      </c>
      <c r="KN62" s="18">
        <v>13.83</v>
      </c>
      <c r="KO62" s="18">
        <v>12.950000000000001</v>
      </c>
      <c r="KP62" s="18">
        <v>11.16</v>
      </c>
      <c r="KQ62" s="18">
        <v>13.76</v>
      </c>
      <c r="KR62" s="18">
        <v>14.040000000000001</v>
      </c>
      <c r="KS62" s="18">
        <v>13.81</v>
      </c>
      <c r="KT62" s="18">
        <v>13.16</v>
      </c>
      <c r="KU62" s="26">
        <v>13.790000000000001</v>
      </c>
      <c r="KV62" s="18">
        <v>13.280000000000001</v>
      </c>
      <c r="KW62" s="17">
        <v>12.83</v>
      </c>
      <c r="KX62" s="17">
        <v>12.120000000000001</v>
      </c>
      <c r="KY62" s="18">
        <v>11.365</v>
      </c>
      <c r="KZ62" s="17">
        <v>11.92</v>
      </c>
      <c r="LA62" s="17">
        <v>12.4</v>
      </c>
      <c r="LB62" s="17">
        <v>13.290000000000001</v>
      </c>
      <c r="LC62" s="17">
        <v>12.76</v>
      </c>
      <c r="LD62" s="17">
        <v>14.940000000000001</v>
      </c>
      <c r="LE62" s="17">
        <v>14.700000000000001</v>
      </c>
      <c r="LF62" s="17">
        <v>15.05</v>
      </c>
      <c r="LG62" s="18">
        <v>14.19</v>
      </c>
      <c r="LH62" s="18">
        <v>16.68</v>
      </c>
      <c r="LI62" s="18">
        <v>14.869999999999997</v>
      </c>
      <c r="LJ62" s="18">
        <v>13.709999999999999</v>
      </c>
      <c r="LK62" s="18">
        <v>14.309999999999999</v>
      </c>
      <c r="LL62" s="18">
        <v>13.8</v>
      </c>
      <c r="LM62" s="18">
        <v>14</v>
      </c>
      <c r="LN62" s="18">
        <v>14.09</v>
      </c>
      <c r="LO62" s="18">
        <v>13.97</v>
      </c>
      <c r="LP62" s="18">
        <v>14.27</v>
      </c>
      <c r="LQ62" s="18">
        <v>14.11</v>
      </c>
      <c r="LR62" s="18">
        <v>15.260000000000002</v>
      </c>
      <c r="LS62" s="18">
        <v>14.940000000000001</v>
      </c>
      <c r="LT62" s="18">
        <v>14.37</v>
      </c>
      <c r="LU62" s="18">
        <v>13.709999999999999</v>
      </c>
      <c r="LV62" s="17">
        <v>14.27</v>
      </c>
      <c r="LW62" s="17">
        <v>15.11</v>
      </c>
      <c r="LX62" s="17">
        <v>13.309999999999999</v>
      </c>
      <c r="LY62" s="17">
        <v>14.459999999999999</v>
      </c>
      <c r="LZ62" s="17">
        <v>13.729999999999999</v>
      </c>
      <c r="MA62" s="17">
        <v>13.87</v>
      </c>
      <c r="MB62" s="17">
        <v>14.469999999999999</v>
      </c>
      <c r="MC62" s="17">
        <v>14.2</v>
      </c>
      <c r="MD62" s="17">
        <v>17.349999999999998</v>
      </c>
      <c r="ME62" s="17">
        <v>16.25</v>
      </c>
      <c r="MF62" s="17">
        <v>15.77</v>
      </c>
      <c r="MG62" s="17">
        <v>14.85</v>
      </c>
      <c r="MH62" s="17">
        <v>14.239999999999998</v>
      </c>
      <c r="MI62" s="17">
        <v>14.36</v>
      </c>
      <c r="MJ62" s="17">
        <v>13.889999999999999</v>
      </c>
      <c r="MK62" s="17">
        <v>15.649999999999999</v>
      </c>
      <c r="ML62" s="17">
        <v>15</v>
      </c>
      <c r="MM62" s="27">
        <v>14.27</v>
      </c>
      <c r="MN62" s="27">
        <f>VLOOKUP(B62,[1]Sheet1!$A:$N,7,0)</f>
        <v>14.63</v>
      </c>
      <c r="MO62" s="27">
        <f>VLOOKUP(B62,[1]Sheet1!$A:$N,8,0)</f>
        <v>15.77</v>
      </c>
      <c r="MP62" s="27">
        <f>VLOOKUP(B62,[1]Sheet1!$A:$N,9,0)</f>
        <v>14.13</v>
      </c>
      <c r="MQ62" s="27">
        <f>VLOOKUP(B62,[1]Sheet1!$A:$N,10,0)</f>
        <v>16.32</v>
      </c>
      <c r="MR62" s="27">
        <f>VLOOKUP(B62,[1]Sheet1!$A:$N,11,0)</f>
        <v>14.98</v>
      </c>
      <c r="MS62" s="27">
        <f>VLOOKUP(B62,[1]Sheet1!$A:$N,12,0)</f>
        <v>14.31</v>
      </c>
      <c r="MT62" s="27">
        <f>VLOOKUP(B62,[1]Sheet1!$A:$N,13,0)</f>
        <v>14.82</v>
      </c>
      <c r="MU62" s="27">
        <f>VLOOKUP(B62,[1]Sheet1!$A:$N,14,0)</f>
        <v>15.370000000000001</v>
      </c>
    </row>
    <row r="63" spans="1:359" s="27" customFormat="1" ht="18.75" customHeight="1" x14ac:dyDescent="0.25">
      <c r="A63" s="8" t="s">
        <v>0</v>
      </c>
      <c r="B63" s="8">
        <v>50027</v>
      </c>
      <c r="C63" s="9" t="s">
        <v>20</v>
      </c>
      <c r="D63" s="10" t="s">
        <v>39</v>
      </c>
      <c r="E63" s="10" t="s">
        <v>109</v>
      </c>
      <c r="F63" s="11" t="s">
        <v>40</v>
      </c>
      <c r="G63" s="39" t="s">
        <v>98</v>
      </c>
      <c r="H63" s="41">
        <v>200.2</v>
      </c>
      <c r="I63" s="13" t="s">
        <v>2</v>
      </c>
      <c r="J63" s="28">
        <v>8.9600000000000009</v>
      </c>
      <c r="K63" s="15">
        <v>16.322063</v>
      </c>
      <c r="L63" s="15">
        <v>80.967980999999995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>
        <v>6.4899997711181596</v>
      </c>
      <c r="BL63" s="18">
        <v>6.6500000953674299</v>
      </c>
      <c r="BM63" s="18">
        <v>6.9000000953674299</v>
      </c>
      <c r="BN63" s="18"/>
      <c r="BO63" s="18">
        <v>8.0399999618530291</v>
      </c>
      <c r="BP63" s="18">
        <v>8.1400003433227504</v>
      </c>
      <c r="BQ63" s="18">
        <v>7.4800000190734899</v>
      </c>
      <c r="BR63" s="18">
        <v>6.9000000953674299</v>
      </c>
      <c r="BS63" s="18">
        <v>6.5700001716613796</v>
      </c>
      <c r="BT63" s="18">
        <v>6.5100002288818404</v>
      </c>
      <c r="BU63" s="18">
        <v>6.7300000190734899</v>
      </c>
      <c r="BV63" s="18">
        <v>6.8899998664856001</v>
      </c>
      <c r="BW63" s="18">
        <v>7.0799999237060502</v>
      </c>
      <c r="BX63" s="18">
        <v>7.1300001144409197</v>
      </c>
      <c r="BY63" s="17">
        <v>7.6700000762939498</v>
      </c>
      <c r="BZ63" s="17">
        <v>8.1099996566772496</v>
      </c>
      <c r="CA63" s="17">
        <v>8.5200004577636701</v>
      </c>
      <c r="CB63" s="17">
        <v>8.9499998092651403</v>
      </c>
      <c r="CC63" s="17">
        <v>8.4899997711181605</v>
      </c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>
        <v>9.8599996566772496</v>
      </c>
      <c r="DB63" s="17"/>
      <c r="DC63" s="17">
        <v>9.0299997329711896</v>
      </c>
      <c r="DD63" s="17"/>
      <c r="DE63" s="17">
        <v>8.1700000762939506</v>
      </c>
      <c r="DF63" s="17"/>
      <c r="DG63" s="17"/>
      <c r="DH63" s="17"/>
      <c r="DI63" s="17">
        <v>9.3000001907348597</v>
      </c>
      <c r="DJ63" s="17"/>
      <c r="DK63" s="17"/>
      <c r="DL63" s="17"/>
      <c r="DM63" s="17"/>
      <c r="DN63" s="17"/>
      <c r="DO63" s="17">
        <v>7.1999998092651403</v>
      </c>
      <c r="DP63" s="17"/>
      <c r="DQ63" s="17">
        <v>8.1700000762939506</v>
      </c>
      <c r="DR63" s="17"/>
      <c r="DS63" s="17"/>
      <c r="DT63" s="17"/>
      <c r="DU63" s="17">
        <v>9.3000001907348597</v>
      </c>
      <c r="DV63" s="17"/>
      <c r="DW63" s="17"/>
      <c r="DX63" s="17"/>
      <c r="DY63" s="17"/>
      <c r="DZ63" s="17"/>
      <c r="EA63" s="17">
        <v>7.1999998092651403</v>
      </c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>
        <v>6.6999998092651403</v>
      </c>
      <c r="EO63" s="17"/>
      <c r="EP63" s="17">
        <v>7.1100001335143999</v>
      </c>
      <c r="EQ63" s="17">
        <v>6.8499999046325701</v>
      </c>
      <c r="ER63" s="17"/>
      <c r="ES63" s="17">
        <v>6.75</v>
      </c>
      <c r="ET63" s="17"/>
      <c r="EU63" s="17">
        <v>7.1900000572204599</v>
      </c>
      <c r="EV63" s="17"/>
      <c r="EW63" s="17">
        <v>7.0500001907348597</v>
      </c>
      <c r="EX63" s="17"/>
      <c r="EY63" s="17">
        <v>6.5999999046325701</v>
      </c>
      <c r="EZ63" s="17"/>
      <c r="FA63" s="17"/>
      <c r="FB63" s="17">
        <v>6.9299998283386204</v>
      </c>
      <c r="FC63" s="17">
        <v>7.7800002098083496</v>
      </c>
      <c r="FD63" s="17"/>
      <c r="FE63" s="17">
        <v>7.4899997711181596</v>
      </c>
      <c r="FF63" s="17"/>
      <c r="FG63" s="17">
        <v>8.7700004577636701</v>
      </c>
      <c r="FH63" s="17"/>
      <c r="FI63" s="17">
        <v>8.6999998092651403</v>
      </c>
      <c r="FJ63" s="17"/>
      <c r="FK63" s="17">
        <v>6.5700001716613796</v>
      </c>
      <c r="FL63" s="17"/>
      <c r="FM63" s="17">
        <v>5.0599999427795401</v>
      </c>
      <c r="FN63" s="17"/>
      <c r="FO63" s="17">
        <v>5.1799998283386204</v>
      </c>
      <c r="FP63" s="17"/>
      <c r="FQ63" s="17">
        <v>3.1900000572204599</v>
      </c>
      <c r="FR63" s="17"/>
      <c r="FS63" s="17">
        <v>6.0199999809265101</v>
      </c>
      <c r="FT63" s="17">
        <v>4.2600002288818404</v>
      </c>
      <c r="FU63" s="17">
        <v>3.9000000953674299</v>
      </c>
      <c r="FV63" s="17"/>
      <c r="FW63" s="17">
        <v>3.1900000572204599</v>
      </c>
      <c r="FX63" s="17"/>
      <c r="FY63" s="17">
        <v>6.53999996185303</v>
      </c>
      <c r="FZ63" s="17"/>
      <c r="GA63" s="17">
        <v>4</v>
      </c>
      <c r="GB63" s="17"/>
      <c r="GC63" s="17">
        <v>5.1500000953674299</v>
      </c>
      <c r="GD63" s="17"/>
      <c r="GE63" s="17">
        <v>5.7199997901916504</v>
      </c>
      <c r="GF63" s="17"/>
      <c r="GG63" s="17">
        <v>5.0199999809265101</v>
      </c>
      <c r="GH63" s="17"/>
      <c r="GI63" s="17">
        <v>4.9699997901916504</v>
      </c>
      <c r="GJ63" s="17"/>
      <c r="GK63" s="17">
        <v>4.6500000953674299</v>
      </c>
      <c r="GL63" s="17">
        <v>4.9699997901916504</v>
      </c>
      <c r="GM63" s="17">
        <v>5.5300002098083496</v>
      </c>
      <c r="GN63" s="17">
        <v>5.6199998855590803</v>
      </c>
      <c r="GO63" s="17">
        <v>5.9000000953674299</v>
      </c>
      <c r="GP63" s="17">
        <v>7.7699999809265101</v>
      </c>
      <c r="GQ63" s="17">
        <v>9.3500003814697301</v>
      </c>
      <c r="GR63" s="17">
        <v>9.1000003814697301</v>
      </c>
      <c r="GS63" s="17">
        <v>9.0200004577636701</v>
      </c>
      <c r="GT63" s="17">
        <v>7.3899998664856001</v>
      </c>
      <c r="GU63" s="17">
        <v>5.4499998092651403</v>
      </c>
      <c r="GV63" s="17"/>
      <c r="GW63" s="17">
        <v>5.5</v>
      </c>
      <c r="GX63" s="17">
        <v>5.6799998283386204</v>
      </c>
      <c r="GY63" s="17">
        <v>5.9000000953674299</v>
      </c>
      <c r="GZ63" s="17">
        <v>6.1700000762939498</v>
      </c>
      <c r="HA63" s="17">
        <v>6.4000000953674299</v>
      </c>
      <c r="HB63" s="17">
        <v>7.1799998283386204</v>
      </c>
      <c r="HC63" s="17">
        <v>7.3000001907348597</v>
      </c>
      <c r="HD63" s="17">
        <v>6.3299999237060502</v>
      </c>
      <c r="HE63" s="17">
        <v>5.8000001907348597</v>
      </c>
      <c r="HF63" s="17">
        <v>5.5</v>
      </c>
      <c r="HG63" s="17">
        <v>5.0799999237060502</v>
      </c>
      <c r="HH63" s="17"/>
      <c r="HI63" s="17">
        <v>8.4499998092651403</v>
      </c>
      <c r="HJ63" s="17">
        <v>8</v>
      </c>
      <c r="HK63" s="17">
        <v>7.8499999046325701</v>
      </c>
      <c r="HL63" s="17">
        <v>8.1899995803833008</v>
      </c>
      <c r="HM63" s="17">
        <v>9.4499998092651403</v>
      </c>
      <c r="HN63" s="17">
        <v>10.1199998855591</v>
      </c>
      <c r="HO63" s="17">
        <v>10.6300001144409</v>
      </c>
      <c r="HP63" s="17">
        <v>10.6499996185303</v>
      </c>
      <c r="HQ63" s="17">
        <v>10.699999809265099</v>
      </c>
      <c r="HR63" s="17">
        <v>9.3900003433227504</v>
      </c>
      <c r="HS63" s="17">
        <v>8.5</v>
      </c>
      <c r="HT63" s="17">
        <v>8.3900003433227504</v>
      </c>
      <c r="HU63" s="17">
        <v>8.2100000381469709</v>
      </c>
      <c r="HV63" s="17">
        <v>8.4099998474121094</v>
      </c>
      <c r="HW63" s="17">
        <v>8.7600002288818395</v>
      </c>
      <c r="HX63" s="17">
        <v>9.2600002288818395</v>
      </c>
      <c r="HY63" s="17">
        <v>7.6199998855590803</v>
      </c>
      <c r="HZ63" s="17">
        <v>9.2799997329711896</v>
      </c>
      <c r="IA63" s="17">
        <v>10.8400001525879</v>
      </c>
      <c r="IB63" s="17">
        <v>12.039999961853001</v>
      </c>
      <c r="IC63" s="17">
        <v>11.6000003814697</v>
      </c>
      <c r="ID63" s="17">
        <v>13.1199998855591</v>
      </c>
      <c r="IE63" s="17">
        <v>9.7600002288818395</v>
      </c>
      <c r="IF63" s="17">
        <v>9.3599996566772496</v>
      </c>
      <c r="IG63" s="17">
        <v>8.8900003433227504</v>
      </c>
      <c r="IH63" s="17">
        <v>8.5500001907348597</v>
      </c>
      <c r="II63" s="17">
        <v>8.6899995803833008</v>
      </c>
      <c r="IJ63" s="17">
        <v>11.3900003433228</v>
      </c>
      <c r="IK63" s="17">
        <v>8.9700002670288104</v>
      </c>
      <c r="IL63" s="17"/>
      <c r="IM63" s="17"/>
      <c r="IN63" s="17">
        <v>11.0200004577637</v>
      </c>
      <c r="IO63" s="17">
        <v>9.7899999618530291</v>
      </c>
      <c r="IP63" s="17">
        <v>9.5399999618530291</v>
      </c>
      <c r="IQ63" s="17">
        <v>10.1099996566772</v>
      </c>
      <c r="IR63" s="17">
        <v>8.6400003433227504</v>
      </c>
      <c r="IS63" s="18">
        <v>8.8699999999999992</v>
      </c>
      <c r="IT63" s="18">
        <v>8.69</v>
      </c>
      <c r="IU63" s="18">
        <v>8.8800000000000008</v>
      </c>
      <c r="IV63" s="18">
        <v>12.55</v>
      </c>
      <c r="IW63" s="18">
        <v>12.98</v>
      </c>
      <c r="IX63" s="18">
        <v>13.01</v>
      </c>
      <c r="IY63" s="18">
        <v>13.89</v>
      </c>
      <c r="IZ63" s="19">
        <v>9.4600000000000009</v>
      </c>
      <c r="JA63" s="20">
        <v>8.25</v>
      </c>
      <c r="JB63" s="20">
        <v>13.17</v>
      </c>
      <c r="JC63" s="20">
        <v>13.83</v>
      </c>
      <c r="JD63" s="20">
        <v>8.86</v>
      </c>
      <c r="JE63" s="20">
        <v>13.41</v>
      </c>
      <c r="JF63" s="21">
        <v>13.44</v>
      </c>
      <c r="JG63" s="22">
        <v>13.81</v>
      </c>
      <c r="JH63" s="22">
        <v>14.18</v>
      </c>
      <c r="JI63" s="20">
        <v>14.44</v>
      </c>
      <c r="JJ63" s="23">
        <v>11.18</v>
      </c>
      <c r="JK63" s="24">
        <v>11.35</v>
      </c>
      <c r="JL63" s="24">
        <v>9.84</v>
      </c>
      <c r="JM63" s="17">
        <v>14.67</v>
      </c>
      <c r="JN63" s="17">
        <v>14.86</v>
      </c>
      <c r="JO63" s="17">
        <v>11.34</v>
      </c>
      <c r="JP63" s="17">
        <v>10.4</v>
      </c>
      <c r="JQ63" s="17">
        <v>14.03</v>
      </c>
      <c r="JR63" s="17">
        <v>14.44</v>
      </c>
      <c r="JS63" s="17">
        <v>14.82</v>
      </c>
      <c r="JT63" s="17">
        <v>15.12</v>
      </c>
      <c r="JU63" s="17">
        <v>16.420000000000002</v>
      </c>
      <c r="JV63" s="18">
        <v>15.94</v>
      </c>
      <c r="JW63" s="18">
        <v>13.23</v>
      </c>
      <c r="JX63" s="18">
        <v>16.190000000000001</v>
      </c>
      <c r="JY63" s="18">
        <v>14.49</v>
      </c>
      <c r="JZ63" s="18">
        <v>14.98</v>
      </c>
      <c r="KA63" s="18">
        <v>13.39</v>
      </c>
      <c r="KB63" s="18">
        <v>14.04</v>
      </c>
      <c r="KC63" s="18">
        <v>14.28</v>
      </c>
      <c r="KD63" s="18">
        <v>14.76</v>
      </c>
      <c r="KE63" s="18">
        <v>15.24</v>
      </c>
      <c r="KF63" s="18">
        <v>15.72</v>
      </c>
      <c r="KG63" s="26">
        <v>15.51</v>
      </c>
      <c r="KH63" s="26">
        <v>11.66</v>
      </c>
      <c r="KI63" s="26">
        <v>12.31</v>
      </c>
      <c r="KJ63" s="26">
        <v>11.33</v>
      </c>
      <c r="KK63" s="26">
        <v>13.69</v>
      </c>
      <c r="KL63" s="18">
        <v>10.039999999999999</v>
      </c>
      <c r="KM63" s="26">
        <v>9.99</v>
      </c>
      <c r="KN63" s="18">
        <v>10.91</v>
      </c>
      <c r="KO63" s="18">
        <v>11.190000000000001</v>
      </c>
      <c r="KP63" s="18">
        <v>11.93</v>
      </c>
      <c r="KQ63" s="18">
        <v>11.91</v>
      </c>
      <c r="KR63" s="18">
        <v>12.329999999999998</v>
      </c>
      <c r="KS63" s="18">
        <v>12.239999999999998</v>
      </c>
      <c r="KT63" s="18">
        <v>11.55</v>
      </c>
      <c r="KU63" s="26">
        <v>12.940000000000001</v>
      </c>
      <c r="KV63" s="18">
        <v>12.93</v>
      </c>
      <c r="KW63" s="17">
        <v>12.57</v>
      </c>
      <c r="KX63" s="17">
        <v>12.309999999999999</v>
      </c>
      <c r="KY63" s="18">
        <v>11.969999999999999</v>
      </c>
      <c r="KZ63" s="17">
        <v>12.25</v>
      </c>
      <c r="LA63" s="17">
        <v>13.43</v>
      </c>
      <c r="LB63" s="17">
        <v>11.629999999999999</v>
      </c>
      <c r="LC63" s="17">
        <v>13.870000000000001</v>
      </c>
      <c r="LD63" s="17">
        <v>13.350000000000001</v>
      </c>
      <c r="LE63" s="17">
        <v>11.739999999999998</v>
      </c>
      <c r="LF63" s="17">
        <v>13.260000000000002</v>
      </c>
      <c r="LG63" s="18">
        <v>12.55</v>
      </c>
      <c r="LH63" s="18">
        <v>13.540000000000001</v>
      </c>
      <c r="LI63" s="18">
        <v>13.06</v>
      </c>
      <c r="LJ63" s="18">
        <v>12.040000000000001</v>
      </c>
      <c r="LK63" s="18">
        <v>12.59</v>
      </c>
      <c r="LL63" s="18">
        <v>12.08</v>
      </c>
      <c r="LM63" s="18">
        <v>12.38</v>
      </c>
      <c r="LN63" s="18">
        <v>12.46</v>
      </c>
      <c r="LO63" s="18">
        <v>12.5</v>
      </c>
      <c r="LP63" s="18">
        <v>12.71</v>
      </c>
      <c r="LQ63" s="18">
        <v>12.56</v>
      </c>
      <c r="LR63" s="18">
        <v>13.48</v>
      </c>
      <c r="LS63" s="18">
        <v>13.1</v>
      </c>
      <c r="LT63" s="18">
        <v>14.14</v>
      </c>
      <c r="LU63" s="18">
        <v>13.440000000000001</v>
      </c>
      <c r="LV63" s="17">
        <v>13.690000000000001</v>
      </c>
      <c r="LW63" s="17">
        <v>14.24</v>
      </c>
      <c r="LX63" s="17">
        <v>13.18</v>
      </c>
      <c r="LY63" s="17">
        <v>13.799999999999999</v>
      </c>
      <c r="LZ63" s="17">
        <v>13.29</v>
      </c>
      <c r="MA63" s="17">
        <v>13.65</v>
      </c>
      <c r="MB63" s="17">
        <v>14.16</v>
      </c>
      <c r="MC63" s="17">
        <v>12.85</v>
      </c>
      <c r="MD63" s="17">
        <v>14.24</v>
      </c>
      <c r="ME63" s="17">
        <v>15.569999999999999</v>
      </c>
      <c r="MF63" s="17">
        <v>15.049999999999999</v>
      </c>
      <c r="MG63" s="17">
        <v>15.929999999999998</v>
      </c>
      <c r="MH63" s="17">
        <v>12.979999999999999</v>
      </c>
      <c r="MI63" s="17">
        <v>13.24</v>
      </c>
      <c r="MJ63" s="17">
        <v>13.37</v>
      </c>
      <c r="MK63" s="17">
        <v>16.53</v>
      </c>
      <c r="ML63" s="17">
        <v>14.459999999999999</v>
      </c>
      <c r="MM63" s="27">
        <v>13.96</v>
      </c>
      <c r="MN63" s="27">
        <f>VLOOKUP(B63,[1]Sheet1!$A:$N,7,0)</f>
        <v>14.28</v>
      </c>
      <c r="MO63" s="27">
        <f>VLOOKUP(B63,[1]Sheet1!$A:$N,8,0)</f>
        <v>15.049999999999999</v>
      </c>
      <c r="MP63" s="27">
        <f>VLOOKUP(B63,[1]Sheet1!$A:$N,9,0)</f>
        <v>14.93</v>
      </c>
      <c r="MQ63" s="27">
        <f>VLOOKUP(B63,[1]Sheet1!$A:$N,10,0)</f>
        <v>15.929999999999998</v>
      </c>
      <c r="MR63" s="27">
        <f>VLOOKUP(B63,[1]Sheet1!$A:$N,11,0)</f>
        <v>15.389999999999999</v>
      </c>
      <c r="MS63" s="27">
        <f>VLOOKUP(B63,[1]Sheet1!$A:$N,12,0)</f>
        <v>13.9</v>
      </c>
      <c r="MT63" s="27">
        <f>VLOOKUP(B63,[1]Sheet1!$A:$N,13,0)</f>
        <v>15.2</v>
      </c>
      <c r="MU63" s="27">
        <f>VLOOKUP(B63,[1]Sheet1!$A:$N,14,0)</f>
        <v>16.18</v>
      </c>
    </row>
    <row r="64" spans="1:359" s="27" customFormat="1" ht="18.75" customHeight="1" x14ac:dyDescent="0.25">
      <c r="A64" s="8" t="s">
        <v>0</v>
      </c>
      <c r="B64" s="8">
        <v>50028</v>
      </c>
      <c r="C64" s="9" t="s">
        <v>20</v>
      </c>
      <c r="D64" s="10" t="s">
        <v>39</v>
      </c>
      <c r="E64" s="10" t="s">
        <v>110</v>
      </c>
      <c r="F64" s="11" t="s">
        <v>40</v>
      </c>
      <c r="G64" s="39" t="s">
        <v>98</v>
      </c>
      <c r="H64" s="41">
        <v>198.1</v>
      </c>
      <c r="I64" s="13" t="s">
        <v>2</v>
      </c>
      <c r="J64" s="28">
        <v>8.7799999999999994</v>
      </c>
      <c r="K64" s="15">
        <v>16.322035</v>
      </c>
      <c r="L64" s="15">
        <v>80.968091999999999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>
        <v>6.7550001144409197</v>
      </c>
      <c r="BL64" s="18">
        <v>6.91499996185303</v>
      </c>
      <c r="BM64" s="18">
        <v>7.0250000953674299</v>
      </c>
      <c r="BN64" s="18"/>
      <c r="BO64" s="18">
        <v>8.0550003051757795</v>
      </c>
      <c r="BP64" s="18">
        <v>8.1549997329711896</v>
      </c>
      <c r="BQ64" s="18">
        <v>2.6949999332428001</v>
      </c>
      <c r="BR64" s="18">
        <v>6.91499996185303</v>
      </c>
      <c r="BS64" s="18">
        <v>6.5749998092651403</v>
      </c>
      <c r="BT64" s="18">
        <v>6.5549998283386204</v>
      </c>
      <c r="BU64" s="18">
        <v>6.7449998855590803</v>
      </c>
      <c r="BV64" s="18">
        <v>4.2449998855590803</v>
      </c>
      <c r="BW64" s="18">
        <v>6.9749999046325701</v>
      </c>
      <c r="BX64" s="18">
        <v>7.0250000953674299</v>
      </c>
      <c r="BY64" s="17">
        <v>7.5949997901916504</v>
      </c>
      <c r="BZ64" s="17">
        <v>8.1750001907348597</v>
      </c>
      <c r="CA64" s="17">
        <v>9.0050001144409197</v>
      </c>
      <c r="CB64" s="17">
        <v>9</v>
      </c>
      <c r="CC64" s="17">
        <v>8.5500001907348597</v>
      </c>
      <c r="CD64" s="17">
        <v>7.9749999046325701</v>
      </c>
      <c r="CE64" s="17">
        <v>7.4050002098083496</v>
      </c>
      <c r="CF64" s="17">
        <v>7.3150000572204599</v>
      </c>
      <c r="CG64" s="17">
        <v>6.875</v>
      </c>
      <c r="CH64" s="17">
        <v>8.125</v>
      </c>
      <c r="CI64" s="17">
        <v>8.4949998855590803</v>
      </c>
      <c r="CJ64" s="17"/>
      <c r="CK64" s="17">
        <v>8.3649997711181605</v>
      </c>
      <c r="CL64" s="17">
        <v>9.625</v>
      </c>
      <c r="CM64" s="17">
        <v>9.5450000762939506</v>
      </c>
      <c r="CN64" s="17">
        <v>9.4650001525878995</v>
      </c>
      <c r="CO64" s="17">
        <v>10.0249996185303</v>
      </c>
      <c r="CP64" s="17">
        <v>8.7550001144409197</v>
      </c>
      <c r="CQ64" s="17"/>
      <c r="CR64" s="17"/>
      <c r="CS64" s="17">
        <v>8.7150001525878906</v>
      </c>
      <c r="CT64" s="17"/>
      <c r="CU64" s="17">
        <v>9.7650003433227504</v>
      </c>
      <c r="CV64" s="17"/>
      <c r="CW64" s="17">
        <v>9.6949996948242205</v>
      </c>
      <c r="CX64" s="17"/>
      <c r="CY64" s="17">
        <v>10.3850002288818</v>
      </c>
      <c r="CZ64" s="17"/>
      <c r="DA64" s="17">
        <v>9.8649997711181605</v>
      </c>
      <c r="DB64" s="17"/>
      <c r="DC64" s="17">
        <v>9.0399999618530291</v>
      </c>
      <c r="DD64" s="17"/>
      <c r="DE64" s="17">
        <v>8.1800003051757795</v>
      </c>
      <c r="DF64" s="17"/>
      <c r="DG64" s="17"/>
      <c r="DH64" s="17"/>
      <c r="DI64" s="17">
        <v>10.039999961853001</v>
      </c>
      <c r="DJ64" s="17"/>
      <c r="DK64" s="17"/>
      <c r="DL64" s="17"/>
      <c r="DM64" s="17"/>
      <c r="DN64" s="17"/>
      <c r="DO64" s="17">
        <v>8.9200000762939506</v>
      </c>
      <c r="DP64" s="17"/>
      <c r="DQ64" s="17"/>
      <c r="DR64" s="17"/>
      <c r="DS64" s="17"/>
      <c r="DT64" s="17"/>
      <c r="DU64" s="17">
        <v>8.8500003814697301</v>
      </c>
      <c r="DV64" s="17"/>
      <c r="DW64" s="17"/>
      <c r="DX64" s="17"/>
      <c r="DY64" s="17"/>
      <c r="DZ64" s="17"/>
      <c r="EA64" s="17">
        <v>7.4400000572204599</v>
      </c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>
        <v>6.6999998092651403</v>
      </c>
      <c r="EO64" s="17"/>
      <c r="EP64" s="17">
        <v>7.3299999237060502</v>
      </c>
      <c r="EQ64" s="17">
        <v>6.6500000953674299</v>
      </c>
      <c r="ER64" s="17"/>
      <c r="ES64" s="17">
        <v>7.3400001525878897</v>
      </c>
      <c r="ET64" s="17"/>
      <c r="EU64" s="17">
        <v>7.4000000953674299</v>
      </c>
      <c r="EV64" s="17"/>
      <c r="EW64" s="17">
        <v>7.25</v>
      </c>
      <c r="EX64" s="17"/>
      <c r="EY64" s="17">
        <v>6.8400001525878897</v>
      </c>
      <c r="EZ64" s="17"/>
      <c r="FA64" s="17"/>
      <c r="FB64" s="17">
        <v>7.1700000762939498</v>
      </c>
      <c r="FC64" s="17">
        <v>7.8099999427795401</v>
      </c>
      <c r="FD64" s="17"/>
      <c r="FE64" s="17">
        <v>7.7300000190734899</v>
      </c>
      <c r="FF64" s="17"/>
      <c r="FG64" s="17">
        <v>8.9700002670288104</v>
      </c>
      <c r="FH64" s="17"/>
      <c r="FI64" s="17">
        <v>8.6000003814697301</v>
      </c>
      <c r="FJ64" s="17"/>
      <c r="FK64" s="17">
        <v>6.03999996185303</v>
      </c>
      <c r="FL64" s="17"/>
      <c r="FM64" s="17">
        <v>7.3000001907348597</v>
      </c>
      <c r="FN64" s="17"/>
      <c r="FO64" s="17">
        <v>6.4899997711181596</v>
      </c>
      <c r="FP64" s="17"/>
      <c r="FQ64" s="17">
        <v>7.5799999237060502</v>
      </c>
      <c r="FR64" s="17"/>
      <c r="FS64" s="17">
        <v>8.4300003051757795</v>
      </c>
      <c r="FT64" s="17">
        <v>7</v>
      </c>
      <c r="FU64" s="17">
        <v>6.8800001144409197</v>
      </c>
      <c r="FV64" s="17"/>
      <c r="FW64" s="17">
        <v>4.8499999046325701</v>
      </c>
      <c r="FX64" s="17"/>
      <c r="FY64" s="17">
        <v>3.8499999046325701</v>
      </c>
      <c r="FZ64" s="17"/>
      <c r="GA64" s="17">
        <v>6.75</v>
      </c>
      <c r="GB64" s="17"/>
      <c r="GC64" s="17">
        <v>6.9800000190734899</v>
      </c>
      <c r="GD64" s="17"/>
      <c r="GE64" s="17"/>
      <c r="GF64" s="17"/>
      <c r="GG64" s="17">
        <v>7.7800002098083496</v>
      </c>
      <c r="GH64" s="17"/>
      <c r="GI64" s="17">
        <v>7.5</v>
      </c>
      <c r="GJ64" s="17"/>
      <c r="GK64" s="17">
        <v>7.3499999046325701</v>
      </c>
      <c r="GL64" s="17">
        <v>7.8699998855590803</v>
      </c>
      <c r="GM64" s="17">
        <v>8.1899995803833008</v>
      </c>
      <c r="GN64" s="17">
        <v>8.7700004577636701</v>
      </c>
      <c r="GO64" s="17">
        <v>9.5</v>
      </c>
      <c r="GP64" s="17">
        <v>7.8800001144409197</v>
      </c>
      <c r="GQ64" s="17">
        <v>6.9499998092651403</v>
      </c>
      <c r="GR64" s="17">
        <v>7.3299999237060502</v>
      </c>
      <c r="GS64" s="17">
        <v>8.6800003051757795</v>
      </c>
      <c r="GT64" s="17">
        <v>8.3900003433227504</v>
      </c>
      <c r="GU64" s="17">
        <v>8.0500001907348597</v>
      </c>
      <c r="GV64" s="17"/>
      <c r="GW64" s="17">
        <v>8.1800003051757795</v>
      </c>
      <c r="GX64" s="17">
        <v>8.4099998474121094</v>
      </c>
      <c r="GY64" s="17">
        <v>8.6300001144409197</v>
      </c>
      <c r="GZ64" s="17">
        <v>8.8199996948242205</v>
      </c>
      <c r="HA64" s="17">
        <v>9.1300001144409197</v>
      </c>
      <c r="HB64" s="17">
        <v>9.8900003433227504</v>
      </c>
      <c r="HC64" s="17">
        <v>10.2299995422363</v>
      </c>
      <c r="HD64" s="17">
        <v>9.6000003814697301</v>
      </c>
      <c r="HE64" s="17">
        <v>8.8599996566772496</v>
      </c>
      <c r="HF64" s="17">
        <v>8.4700002670288104</v>
      </c>
      <c r="HG64" s="17">
        <v>8.1300001144409197</v>
      </c>
      <c r="HH64" s="17"/>
      <c r="HI64" s="17">
        <v>7.4000000953674299</v>
      </c>
      <c r="HJ64" s="17">
        <v>8.1999998092651403</v>
      </c>
      <c r="HK64" s="17">
        <v>9</v>
      </c>
      <c r="HL64" s="17">
        <v>7.28999996185303</v>
      </c>
      <c r="HM64" s="17">
        <v>6.4000000953674299</v>
      </c>
      <c r="HN64" s="17">
        <v>7.0999999046325701</v>
      </c>
      <c r="HO64" s="17">
        <v>8.1899995803833008</v>
      </c>
      <c r="HP64" s="17">
        <v>9.2200002670288104</v>
      </c>
      <c r="HQ64" s="17">
        <v>10.039999961853001</v>
      </c>
      <c r="HR64" s="17">
        <v>9.7899999618530291</v>
      </c>
      <c r="HS64" s="17">
        <v>9.6000003814697301</v>
      </c>
      <c r="HT64" s="17">
        <v>9.6899995803833008</v>
      </c>
      <c r="HU64" s="17">
        <v>9.7600002288818395</v>
      </c>
      <c r="HV64" s="17">
        <v>9.5200004577636701</v>
      </c>
      <c r="HW64" s="17">
        <v>9.8100004196166992</v>
      </c>
      <c r="HX64" s="17">
        <v>10.2399997711182</v>
      </c>
      <c r="HY64" s="17">
        <v>9.7600002288818395</v>
      </c>
      <c r="HZ64" s="17">
        <v>10.3900003433228</v>
      </c>
      <c r="IA64" s="17">
        <v>11.310000419616699</v>
      </c>
      <c r="IB64" s="17">
        <v>12.8400001525879</v>
      </c>
      <c r="IC64" s="17">
        <v>12.5</v>
      </c>
      <c r="ID64" s="17">
        <v>13.329999923706101</v>
      </c>
      <c r="IE64" s="17">
        <v>9.7600002288818395</v>
      </c>
      <c r="IF64" s="17">
        <v>12.6499996185303</v>
      </c>
      <c r="IG64" s="17">
        <v>12.2200002670288</v>
      </c>
      <c r="IH64" s="17">
        <v>11.8599996566772</v>
      </c>
      <c r="II64" s="17">
        <v>12.0100002288818</v>
      </c>
      <c r="IJ64" s="17">
        <v>12.289999961853001</v>
      </c>
      <c r="IK64" s="17">
        <v>12.310000419616699</v>
      </c>
      <c r="IL64" s="17"/>
      <c r="IM64" s="17"/>
      <c r="IN64" s="17">
        <v>14.430000305175801</v>
      </c>
      <c r="IO64" s="17">
        <v>13.170000076293899</v>
      </c>
      <c r="IP64" s="17">
        <v>12.8999996185303</v>
      </c>
      <c r="IQ64" s="17">
        <v>13.4899997711182</v>
      </c>
      <c r="IR64" s="17">
        <v>11.9899997711182</v>
      </c>
      <c r="IS64" s="18">
        <v>12.17</v>
      </c>
      <c r="IT64" s="18">
        <v>11.9</v>
      </c>
      <c r="IU64" s="18">
        <v>12.17</v>
      </c>
      <c r="IV64" s="18">
        <v>11.62</v>
      </c>
      <c r="IW64" s="18">
        <v>11.99</v>
      </c>
      <c r="IX64" s="18">
        <v>11.94</v>
      </c>
      <c r="IY64" s="18">
        <v>13.39</v>
      </c>
      <c r="IZ64" s="19">
        <v>13.84</v>
      </c>
      <c r="JA64" s="20">
        <v>13.44</v>
      </c>
      <c r="JB64" s="20">
        <v>12.26</v>
      </c>
      <c r="JC64" s="20">
        <v>13.21</v>
      </c>
      <c r="JD64" s="20">
        <v>13.09</v>
      </c>
      <c r="JE64" s="20">
        <v>12.18</v>
      </c>
      <c r="JF64" s="21">
        <v>12.32</v>
      </c>
      <c r="JG64" s="22">
        <v>12.74</v>
      </c>
      <c r="JH64" s="22">
        <v>13.08</v>
      </c>
      <c r="JI64" s="20">
        <v>13.39</v>
      </c>
      <c r="JJ64" s="23">
        <v>14.7</v>
      </c>
      <c r="JK64" s="24">
        <v>14.89</v>
      </c>
      <c r="JL64" s="24">
        <v>14.8</v>
      </c>
      <c r="JM64" s="17">
        <v>13.36</v>
      </c>
      <c r="JN64" s="17">
        <v>13.86</v>
      </c>
      <c r="JO64" s="17">
        <v>14.83</v>
      </c>
      <c r="JP64" s="17">
        <v>13.95</v>
      </c>
      <c r="JQ64" s="17">
        <v>12.7</v>
      </c>
      <c r="JR64" s="17">
        <v>13.3</v>
      </c>
      <c r="JS64" s="17">
        <v>13.7</v>
      </c>
      <c r="JT64" s="17">
        <v>13.94</v>
      </c>
      <c r="JU64" s="17">
        <v>14.65</v>
      </c>
      <c r="JV64" s="18">
        <v>15.17</v>
      </c>
      <c r="JW64" s="18">
        <v>17.32</v>
      </c>
      <c r="JX64" s="18">
        <v>14.78</v>
      </c>
      <c r="JY64" s="18">
        <v>13.61</v>
      </c>
      <c r="JZ64" s="18">
        <v>13.39</v>
      </c>
      <c r="KA64" s="18">
        <v>12.99</v>
      </c>
      <c r="KB64" s="18">
        <v>13.18</v>
      </c>
      <c r="KC64" s="18">
        <v>12.97</v>
      </c>
      <c r="KD64" s="18">
        <v>13.37</v>
      </c>
      <c r="KE64" s="18">
        <v>13.77</v>
      </c>
      <c r="KF64" s="18">
        <v>14.17</v>
      </c>
      <c r="KG64" s="26">
        <v>14.3</v>
      </c>
      <c r="KH64" s="26">
        <v>16.21</v>
      </c>
      <c r="KI64" s="26">
        <v>16.399999999999999</v>
      </c>
      <c r="KJ64" s="26">
        <v>15.83</v>
      </c>
      <c r="KK64" s="26">
        <v>11.39</v>
      </c>
      <c r="KL64" s="18">
        <v>14.36</v>
      </c>
      <c r="KM64" s="26">
        <v>14.54</v>
      </c>
      <c r="KN64" s="18">
        <v>14.49</v>
      </c>
      <c r="KO64" s="18">
        <v>14.59</v>
      </c>
      <c r="KP64" s="18">
        <v>14.65</v>
      </c>
      <c r="KQ64" s="18">
        <v>15.17</v>
      </c>
      <c r="KR64" s="18">
        <v>15.54</v>
      </c>
      <c r="KS64" s="18">
        <v>15.490000000000002</v>
      </c>
      <c r="KT64" s="18">
        <v>14.030000000000001</v>
      </c>
      <c r="KU64" s="26">
        <v>16.71</v>
      </c>
      <c r="KV64" s="18">
        <v>16.28</v>
      </c>
      <c r="KW64" s="17">
        <v>15.120000000000001</v>
      </c>
      <c r="KX64" s="17">
        <v>13.81</v>
      </c>
      <c r="KY64" s="18">
        <v>12.280000000000001</v>
      </c>
      <c r="KZ64" s="17">
        <v>13.41</v>
      </c>
      <c r="LA64" s="17">
        <v>13.8</v>
      </c>
      <c r="LB64" s="17">
        <v>14.99</v>
      </c>
      <c r="LC64" s="17">
        <v>14.3</v>
      </c>
      <c r="LD64" s="17">
        <v>16.59</v>
      </c>
      <c r="LE64" s="17">
        <v>13.530000000000001</v>
      </c>
      <c r="LF64" s="17">
        <v>16.490000000000002</v>
      </c>
      <c r="LG64" s="18">
        <v>15.88</v>
      </c>
      <c r="LH64" s="18">
        <v>15.159999999999998</v>
      </c>
      <c r="LI64" s="18">
        <v>16.190000000000001</v>
      </c>
      <c r="LJ64" s="18">
        <v>15.13</v>
      </c>
      <c r="LK64" s="18">
        <v>15.679999999999998</v>
      </c>
      <c r="LL64" s="18">
        <v>15.24</v>
      </c>
      <c r="LM64" s="18">
        <v>15.42</v>
      </c>
      <c r="LN64" s="18">
        <v>15.450000000000001</v>
      </c>
      <c r="LO64" s="18">
        <v>15.540000000000001</v>
      </c>
      <c r="LP64" s="18">
        <v>15.709999999999999</v>
      </c>
      <c r="LQ64" s="18">
        <v>15.589999999999998</v>
      </c>
      <c r="LR64" s="18">
        <v>16.470000000000002</v>
      </c>
      <c r="LS64" s="18">
        <v>15.92</v>
      </c>
      <c r="LT64" s="18">
        <v>17.190000000000001</v>
      </c>
      <c r="LU64" s="18">
        <v>16.52</v>
      </c>
      <c r="LV64" s="17">
        <v>16.8</v>
      </c>
      <c r="LW64" s="17">
        <v>17.55</v>
      </c>
      <c r="LX64" s="17">
        <v>16.36</v>
      </c>
      <c r="LY64" s="17">
        <v>17.03</v>
      </c>
      <c r="LZ64" s="17">
        <v>16.560000000000002</v>
      </c>
      <c r="MA64" s="17">
        <v>16.7</v>
      </c>
      <c r="MB64" s="17">
        <v>17.16</v>
      </c>
      <c r="MC64" s="17">
        <v>17.130000000000003</v>
      </c>
      <c r="MD64" s="17">
        <v>14.889999999999999</v>
      </c>
      <c r="ME64" s="17">
        <v>18.790000000000003</v>
      </c>
      <c r="MF64" s="17">
        <v>18.440000000000001</v>
      </c>
      <c r="MG64" s="17">
        <v>17.630000000000003</v>
      </c>
      <c r="MH64" s="17">
        <v>16.920000000000002</v>
      </c>
      <c r="MI64" s="17">
        <v>16.950000000000003</v>
      </c>
      <c r="MJ64" s="17">
        <v>16.830000000000002</v>
      </c>
      <c r="MK64" s="17">
        <v>16.040000000000003</v>
      </c>
      <c r="ML64" s="17">
        <v>16.86</v>
      </c>
      <c r="MM64" s="27">
        <v>17.43</v>
      </c>
      <c r="MN64" s="27">
        <f>VLOOKUP(B64,[1]Sheet1!$A:$N,7,0)</f>
        <v>17.32</v>
      </c>
      <c r="MO64" s="27">
        <f>VLOOKUP(B64,[1]Sheet1!$A:$N,8,0)</f>
        <v>18.440000000000001</v>
      </c>
      <c r="MP64" s="27">
        <f>VLOOKUP(B64,[1]Sheet1!$A:$N,9,0)</f>
        <v>14.11</v>
      </c>
      <c r="MQ64" s="27">
        <f>VLOOKUP(B64,[1]Sheet1!$A:$N,10,0)</f>
        <v>19.12</v>
      </c>
      <c r="MR64" s="27">
        <f>VLOOKUP(B64,[1]Sheet1!$A:$N,11,0)</f>
        <v>17.98</v>
      </c>
      <c r="MS64" s="27">
        <f>VLOOKUP(B64,[1]Sheet1!$A:$N,12,0)</f>
        <v>17.28</v>
      </c>
      <c r="MT64" s="27">
        <f>VLOOKUP(B64,[1]Sheet1!$A:$N,13,0)</f>
        <v>17.489999999999998</v>
      </c>
      <c r="MU64" s="27">
        <f>VLOOKUP(B64,[1]Sheet1!$A:$N,14,0)</f>
        <v>18.05</v>
      </c>
    </row>
    <row r="65" spans="1:359" s="27" customFormat="1" ht="18.75" customHeight="1" x14ac:dyDescent="0.25">
      <c r="A65" s="8" t="s">
        <v>6</v>
      </c>
      <c r="B65" s="8">
        <v>50029</v>
      </c>
      <c r="C65" s="39" t="s">
        <v>20</v>
      </c>
      <c r="D65" s="39" t="s">
        <v>89</v>
      </c>
      <c r="E65" s="39" t="s">
        <v>89</v>
      </c>
      <c r="F65" s="39" t="s">
        <v>46</v>
      </c>
      <c r="G65" s="39" t="s">
        <v>98</v>
      </c>
      <c r="H65" s="41">
        <v>141</v>
      </c>
      <c r="I65" s="39" t="s">
        <v>7</v>
      </c>
      <c r="J65" s="10"/>
      <c r="K65" s="10"/>
      <c r="L65" s="10"/>
      <c r="M65" s="30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>
        <v>4.26</v>
      </c>
      <c r="HE65" s="37">
        <v>4.1500000000000004</v>
      </c>
      <c r="HF65" s="37">
        <v>3.97</v>
      </c>
      <c r="HG65" s="37">
        <v>3.8</v>
      </c>
      <c r="HH65" s="37">
        <v>4.4000000000000004</v>
      </c>
      <c r="HI65" s="37">
        <v>3.97</v>
      </c>
      <c r="HJ65" s="37">
        <v>4.2</v>
      </c>
      <c r="HK65" s="37">
        <v>4.58</v>
      </c>
      <c r="HL65" s="37">
        <v>4.93</v>
      </c>
      <c r="HM65" s="37">
        <v>5.32</v>
      </c>
      <c r="HN65" s="37">
        <v>5.57</v>
      </c>
      <c r="HO65" s="37">
        <v>5.58</v>
      </c>
      <c r="HP65" s="37">
        <v>5.76</v>
      </c>
      <c r="HQ65" s="37">
        <v>5.76</v>
      </c>
      <c r="HR65" s="37">
        <v>5.48</v>
      </c>
      <c r="HS65" s="38">
        <v>5.31</v>
      </c>
      <c r="HT65" s="37">
        <v>5.0599999999999996</v>
      </c>
      <c r="HU65" s="37">
        <v>5.32</v>
      </c>
      <c r="HV65" s="37">
        <v>5.74</v>
      </c>
      <c r="HW65" s="37">
        <v>6.01</v>
      </c>
      <c r="HX65" s="37">
        <v>6.18</v>
      </c>
      <c r="HY65" s="37">
        <v>6.42</v>
      </c>
      <c r="HZ65" s="37">
        <v>6.02</v>
      </c>
      <c r="IA65" s="37">
        <v>6.04</v>
      </c>
      <c r="IB65" s="37">
        <v>6.37</v>
      </c>
      <c r="IC65" s="37">
        <v>6.52</v>
      </c>
      <c r="ID65" s="37">
        <v>6.87</v>
      </c>
      <c r="IE65" s="37">
        <v>6.59</v>
      </c>
      <c r="IF65" s="37">
        <v>7</v>
      </c>
      <c r="IG65" s="37">
        <v>6.64</v>
      </c>
      <c r="IH65" s="37">
        <v>8.093</v>
      </c>
      <c r="II65" s="37">
        <v>7.67</v>
      </c>
      <c r="IJ65" s="37">
        <v>7.9710000000000001</v>
      </c>
      <c r="IK65" s="37">
        <v>7.84</v>
      </c>
      <c r="IL65" s="37">
        <v>7.359</v>
      </c>
      <c r="IM65" s="37">
        <v>7.5339999999999998</v>
      </c>
      <c r="IN65" s="37">
        <v>7.82</v>
      </c>
      <c r="IO65" s="37">
        <v>7.52</v>
      </c>
      <c r="IP65" s="37">
        <v>7.45</v>
      </c>
      <c r="IQ65" s="37">
        <v>7.46</v>
      </c>
      <c r="IR65" s="37">
        <v>7.47</v>
      </c>
      <c r="IS65" s="1">
        <v>7.5960000000000001</v>
      </c>
      <c r="IT65" s="1">
        <v>8.0960000000000001</v>
      </c>
      <c r="IU65" s="1">
        <v>8.875</v>
      </c>
      <c r="IV65" s="1">
        <v>9.5169999999999995</v>
      </c>
      <c r="IW65" s="1">
        <v>10.1</v>
      </c>
      <c r="IX65" s="1">
        <v>9.5250000000000004</v>
      </c>
      <c r="IY65" s="1">
        <v>9.3650000000000002</v>
      </c>
      <c r="IZ65" s="1">
        <v>9.423</v>
      </c>
      <c r="JA65" s="1">
        <v>9.3360000000000003</v>
      </c>
      <c r="JB65" s="1">
        <v>9.0399999999999991</v>
      </c>
      <c r="JC65" s="1">
        <v>9.718</v>
      </c>
      <c r="JD65" s="1">
        <v>9.9550000000000001</v>
      </c>
      <c r="JE65" s="1">
        <v>10.477</v>
      </c>
      <c r="JF65" s="1">
        <v>11.256</v>
      </c>
      <c r="JG65" s="1">
        <v>11.49</v>
      </c>
      <c r="JH65" s="1">
        <v>12.566000000000001</v>
      </c>
      <c r="JI65" s="1">
        <v>13.159000000000001</v>
      </c>
      <c r="JJ65" s="1">
        <v>12.77</v>
      </c>
      <c r="JK65" s="1">
        <v>12.135</v>
      </c>
      <c r="JL65" s="1">
        <v>11.804</v>
      </c>
      <c r="JM65" s="1">
        <v>12.019</v>
      </c>
      <c r="JN65" s="1">
        <v>12.339</v>
      </c>
      <c r="JO65" s="1">
        <v>12.11</v>
      </c>
      <c r="JP65" s="1">
        <v>12.366</v>
      </c>
      <c r="JQ65" s="1">
        <v>12.538</v>
      </c>
      <c r="JR65" s="1">
        <v>13.208</v>
      </c>
      <c r="JS65" s="1">
        <v>14.032</v>
      </c>
      <c r="JT65" s="1">
        <v>14.82</v>
      </c>
      <c r="JU65" s="1">
        <v>15.1</v>
      </c>
      <c r="JV65" s="1">
        <v>15.0862</v>
      </c>
      <c r="JW65" s="1">
        <v>14.678000000000001</v>
      </c>
      <c r="JX65" s="1">
        <v>14.586</v>
      </c>
      <c r="JY65" s="1">
        <v>14.432</v>
      </c>
      <c r="JZ65" s="1">
        <v>13.8292</v>
      </c>
      <c r="KA65" s="1">
        <v>16.649999999999999</v>
      </c>
      <c r="KB65" s="1">
        <v>16.87</v>
      </c>
      <c r="KC65" s="1">
        <v>14.578200000000001</v>
      </c>
      <c r="KD65" s="1">
        <v>14.99</v>
      </c>
      <c r="KE65" s="1">
        <v>15.26</v>
      </c>
      <c r="KF65" s="1">
        <v>15.46</v>
      </c>
      <c r="KG65" s="1">
        <v>15.94</v>
      </c>
      <c r="KH65" s="1">
        <v>15.72</v>
      </c>
      <c r="KI65" s="1">
        <v>14.83</v>
      </c>
      <c r="KJ65" s="1">
        <v>13.42</v>
      </c>
      <c r="KK65" s="1">
        <v>15.09</v>
      </c>
      <c r="KL65" s="1">
        <v>12.46</v>
      </c>
      <c r="KM65" s="1">
        <v>13.79</v>
      </c>
      <c r="KN65" s="1">
        <v>13.26</v>
      </c>
      <c r="KO65" s="1">
        <v>14.5</v>
      </c>
      <c r="KP65" s="1">
        <v>15.94</v>
      </c>
      <c r="KQ65" s="1">
        <v>16.739999999999998</v>
      </c>
      <c r="KR65" s="1">
        <v>17.34</v>
      </c>
      <c r="KS65" s="1">
        <v>17.39</v>
      </c>
      <c r="KT65" s="1">
        <v>17.12</v>
      </c>
      <c r="KU65" s="1">
        <v>15.7</v>
      </c>
      <c r="KV65" s="1">
        <v>14.28</v>
      </c>
      <c r="KW65" s="1">
        <v>13.7</v>
      </c>
      <c r="KX65" s="1">
        <v>13.5</v>
      </c>
      <c r="KY65" s="1">
        <v>12.55</v>
      </c>
      <c r="KZ65" s="1">
        <v>12.63</v>
      </c>
      <c r="LA65" s="1">
        <v>12.82</v>
      </c>
      <c r="LB65" s="1">
        <v>13.26</v>
      </c>
      <c r="LC65" s="1">
        <v>18.239999999999998</v>
      </c>
      <c r="LD65" s="1">
        <v>19.64</v>
      </c>
      <c r="LE65" s="1">
        <v>18.84</v>
      </c>
      <c r="LF65" s="1">
        <v>19.14</v>
      </c>
      <c r="LG65" s="1">
        <v>18.28</v>
      </c>
      <c r="LH65" s="1">
        <v>17.75</v>
      </c>
      <c r="LI65" s="1">
        <v>18</v>
      </c>
      <c r="LJ65" s="1">
        <v>17.34</v>
      </c>
      <c r="LK65" s="1">
        <v>16.97</v>
      </c>
      <c r="LL65" s="1">
        <v>15.59</v>
      </c>
      <c r="LM65" s="1">
        <v>17.25</v>
      </c>
      <c r="LN65" s="1">
        <v>17.54</v>
      </c>
      <c r="LO65" s="1">
        <v>17.32</v>
      </c>
      <c r="LP65" s="1">
        <v>18.739999999999998</v>
      </c>
      <c r="LQ65" s="1">
        <v>18.57</v>
      </c>
      <c r="LR65" s="1">
        <v>19.14</v>
      </c>
      <c r="LS65" s="1">
        <v>18.14</v>
      </c>
      <c r="LT65" s="1">
        <v>17.920000000000002</v>
      </c>
      <c r="LU65" s="1">
        <v>17.95</v>
      </c>
      <c r="LV65" s="1">
        <v>18.64</v>
      </c>
      <c r="LW65" s="1">
        <v>18.72</v>
      </c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27">
        <v>20.399999999999999</v>
      </c>
      <c r="MN65" s="27">
        <f>VLOOKUP(B65,[1]Sheet1!$A:$N,7,0)</f>
        <v>21.01</v>
      </c>
      <c r="MO65" s="27">
        <f>VLOOKUP(B65,[1]Sheet1!$A:$N,8,0)</f>
        <v>0</v>
      </c>
      <c r="MP65" s="27">
        <f>VLOOKUP(B65,[1]Sheet1!$A:$N,9,0)</f>
        <v>19.989999999999998</v>
      </c>
      <c r="MQ65" s="27">
        <f>VLOOKUP(B65,[1]Sheet1!$A:$N,10,0)</f>
        <v>20.520000000000003</v>
      </c>
    </row>
    <row r="66" spans="1:359" s="27" customFormat="1" ht="18.75" customHeight="1" x14ac:dyDescent="0.25">
      <c r="A66" s="18" t="s">
        <v>8</v>
      </c>
      <c r="B66" s="18" t="s">
        <v>111</v>
      </c>
      <c r="C66" s="10" t="s">
        <v>20</v>
      </c>
      <c r="D66" s="10" t="s">
        <v>85</v>
      </c>
      <c r="E66" s="10" t="s">
        <v>112</v>
      </c>
      <c r="F66" s="11" t="s">
        <v>28</v>
      </c>
      <c r="G66" s="11"/>
      <c r="H66" s="41">
        <v>141.69999999999999</v>
      </c>
      <c r="I66" s="13" t="s">
        <v>2</v>
      </c>
      <c r="J66" s="14">
        <v>4.41</v>
      </c>
      <c r="K66" s="15">
        <v>16.309598000000001</v>
      </c>
      <c r="L66" s="15">
        <v>81.212399000000005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7"/>
      <c r="BZ66" s="17"/>
      <c r="CA66" s="17"/>
      <c r="CB66" s="17"/>
      <c r="CC66" s="17"/>
      <c r="CD66" s="17"/>
      <c r="CE66" s="17"/>
      <c r="CF66" s="17"/>
      <c r="CG66" s="17"/>
      <c r="CH66" s="17">
        <v>4.0599999427795401</v>
      </c>
      <c r="CI66" s="17">
        <v>4.8899998664856001</v>
      </c>
      <c r="CJ66" s="17"/>
      <c r="CK66" s="17">
        <v>5.6300001144409197</v>
      </c>
      <c r="CL66" s="17">
        <v>5.6999998092651403</v>
      </c>
      <c r="CM66" s="17">
        <v>5.4299998283386204</v>
      </c>
      <c r="CN66" s="17"/>
      <c r="CO66" s="17">
        <v>5.5300002098083496</v>
      </c>
      <c r="CP66" s="17">
        <v>4.8800001144409197</v>
      </c>
      <c r="CQ66" s="17"/>
      <c r="CR66" s="17"/>
      <c r="CS66" s="17">
        <v>4.25</v>
      </c>
      <c r="CT66" s="17"/>
      <c r="CU66" s="17">
        <v>5.7399997711181596</v>
      </c>
      <c r="CV66" s="17"/>
      <c r="CW66" s="17">
        <v>6.0900001525878897</v>
      </c>
      <c r="CX66" s="17"/>
      <c r="CY66" s="17">
        <v>5.7699999809265101</v>
      </c>
      <c r="CZ66" s="17"/>
      <c r="DA66" s="17">
        <v>5.875</v>
      </c>
      <c r="DB66" s="17"/>
      <c r="DC66" s="17">
        <v>4.3000001907348597</v>
      </c>
      <c r="DD66" s="17"/>
      <c r="DE66" s="17">
        <v>4.4099998474121103</v>
      </c>
      <c r="DF66" s="17"/>
      <c r="DG66" s="17"/>
      <c r="DH66" s="17"/>
      <c r="DI66" s="17">
        <v>5.5</v>
      </c>
      <c r="DJ66" s="17"/>
      <c r="DK66" s="17"/>
      <c r="DL66" s="17"/>
      <c r="DM66" s="17"/>
      <c r="DN66" s="17"/>
      <c r="DO66" s="17">
        <v>4.5100002288818404</v>
      </c>
      <c r="DP66" s="17"/>
      <c r="DQ66" s="17"/>
      <c r="DR66" s="17"/>
      <c r="DS66" s="17"/>
      <c r="DT66" s="17"/>
      <c r="DU66" s="17">
        <v>4.6799998283386204</v>
      </c>
      <c r="DV66" s="17"/>
      <c r="DW66" s="17"/>
      <c r="DX66" s="17"/>
      <c r="DY66" s="17"/>
      <c r="DZ66" s="17"/>
      <c r="EA66" s="17">
        <v>3.6800000667571999</v>
      </c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>
        <v>1.29999995231628</v>
      </c>
      <c r="EO66" s="17"/>
      <c r="EP66" s="17">
        <v>2.2300000190734899</v>
      </c>
      <c r="EQ66" s="17">
        <v>2.2000000476837198</v>
      </c>
      <c r="ER66" s="17">
        <v>2.0499999523162802</v>
      </c>
      <c r="ES66" s="17">
        <v>1.54999995231628</v>
      </c>
      <c r="ET66" s="17"/>
      <c r="EU66" s="17">
        <v>2.4500000476837198</v>
      </c>
      <c r="EV66" s="17"/>
      <c r="EW66" s="17">
        <v>2.0199999809265101</v>
      </c>
      <c r="EX66" s="17"/>
      <c r="EY66" s="17">
        <v>1.70000004768372</v>
      </c>
      <c r="EZ66" s="17"/>
      <c r="FA66" s="17"/>
      <c r="FB66" s="17">
        <v>1.6900000572204601</v>
      </c>
      <c r="FC66" s="17">
        <v>1.9400000572204601</v>
      </c>
      <c r="FD66" s="17"/>
      <c r="FE66" s="17">
        <v>1.95000004768372</v>
      </c>
      <c r="FF66" s="17"/>
      <c r="FG66" s="17">
        <v>2.1500000953674299</v>
      </c>
      <c r="FH66" s="17"/>
      <c r="FI66" s="17">
        <v>2.7999999523162802</v>
      </c>
      <c r="FJ66" s="17"/>
      <c r="FK66" s="17">
        <v>1.6499999761581401</v>
      </c>
      <c r="FL66" s="17"/>
      <c r="FM66" s="17">
        <v>1.79999995231628</v>
      </c>
      <c r="FN66" s="17"/>
      <c r="FO66" s="17">
        <v>1.79999995231628</v>
      </c>
      <c r="FP66" s="17"/>
      <c r="FQ66" s="17">
        <v>2.0999999046325701</v>
      </c>
      <c r="FR66" s="17"/>
      <c r="FS66" s="17">
        <v>2.0199999809265101</v>
      </c>
      <c r="FT66" s="17">
        <v>1.9700000286102299</v>
      </c>
      <c r="FU66" s="17">
        <v>1.70000004768372</v>
      </c>
      <c r="FV66" s="17"/>
      <c r="FW66" s="17">
        <v>1.3400000333786</v>
      </c>
      <c r="FX66" s="17"/>
      <c r="FY66" s="17">
        <v>1.2400000095367401</v>
      </c>
      <c r="FZ66" s="17"/>
      <c r="GA66" s="17">
        <v>1.53999996185303</v>
      </c>
      <c r="GB66" s="17"/>
      <c r="GC66" s="17">
        <v>2.2699999809265101</v>
      </c>
      <c r="GD66" s="17"/>
      <c r="GE66" s="17">
        <v>2.1700000762939502</v>
      </c>
      <c r="GF66" s="17">
        <v>2.2300000190734899</v>
      </c>
      <c r="GG66" s="17">
        <v>2.1400001049041699</v>
      </c>
      <c r="GH66" s="17"/>
      <c r="GI66" s="17"/>
      <c r="GJ66" s="17">
        <v>2</v>
      </c>
      <c r="GK66" s="17">
        <v>2</v>
      </c>
      <c r="GL66" s="17"/>
      <c r="GM66" s="17">
        <v>2.7999999523162802</v>
      </c>
      <c r="GN66" s="17"/>
      <c r="GO66" s="17">
        <v>3.2999999523162802</v>
      </c>
      <c r="GP66" s="17"/>
      <c r="GQ66" s="17">
        <v>3.5</v>
      </c>
      <c r="GR66" s="17"/>
      <c r="GS66" s="17">
        <v>3.25</v>
      </c>
      <c r="GT66" s="17"/>
      <c r="GU66" s="17">
        <v>3.0499999523162802</v>
      </c>
      <c r="GV66" s="17"/>
      <c r="GW66" s="17">
        <v>3.2400000095367401</v>
      </c>
      <c r="GX66" s="17"/>
      <c r="GY66" s="17">
        <v>4.1500000953674299</v>
      </c>
      <c r="GZ66" s="17"/>
      <c r="HA66" s="17">
        <v>4.9000000953674299</v>
      </c>
      <c r="HB66" s="17"/>
      <c r="HC66" s="17">
        <v>4.5300002098083496</v>
      </c>
      <c r="HD66" s="17"/>
      <c r="HE66" s="17">
        <v>3.9400000572204599</v>
      </c>
      <c r="HF66" s="17"/>
      <c r="HG66" s="17">
        <v>4.1999998092651403</v>
      </c>
      <c r="HH66" s="17"/>
      <c r="HI66" s="17">
        <v>4.4000000953674299</v>
      </c>
      <c r="HJ66" s="17">
        <v>4.6100001335143999</v>
      </c>
      <c r="HK66" s="17">
        <v>5.5500001907348597</v>
      </c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>
        <v>6.8000001907348597</v>
      </c>
      <c r="IC66" s="17">
        <v>6.8499999046325701</v>
      </c>
      <c r="ID66" s="17">
        <v>6.9899997711181596</v>
      </c>
      <c r="IE66" s="17">
        <v>6.8600001335143999</v>
      </c>
      <c r="IF66" s="17">
        <v>6.6999998092651403</v>
      </c>
      <c r="IG66" s="17">
        <v>6.9800000190734899</v>
      </c>
      <c r="IH66" s="17">
        <v>7.7300000190734899</v>
      </c>
      <c r="II66" s="17">
        <v>8.3599996566772496</v>
      </c>
      <c r="IJ66" s="17">
        <v>8.8400001525878906</v>
      </c>
      <c r="IK66" s="17">
        <v>8.9200000762939506</v>
      </c>
      <c r="IL66" s="17"/>
      <c r="IM66" s="17"/>
      <c r="IN66" s="17">
        <v>8.6000003814697301</v>
      </c>
      <c r="IO66" s="17">
        <v>8.25</v>
      </c>
      <c r="IP66" s="17">
        <v>8.2399997711181605</v>
      </c>
      <c r="IQ66" s="17">
        <v>8.2100000381469709</v>
      </c>
      <c r="IR66" s="17">
        <v>8.1800003051757795</v>
      </c>
      <c r="IS66" s="18">
        <v>8.4499999999999993</v>
      </c>
      <c r="IT66" s="18">
        <v>8.94</v>
      </c>
      <c r="IU66" s="18">
        <v>10.41</v>
      </c>
      <c r="IV66" s="18">
        <v>11.17</v>
      </c>
      <c r="IW66" s="18">
        <v>12.18</v>
      </c>
      <c r="IX66" s="18">
        <v>11.86</v>
      </c>
      <c r="IY66" s="18">
        <v>11.17</v>
      </c>
      <c r="IZ66" s="19">
        <v>11.33</v>
      </c>
      <c r="JA66" s="20">
        <v>10.91</v>
      </c>
      <c r="JB66" s="20">
        <v>10.49</v>
      </c>
      <c r="JC66" s="20">
        <v>10.81</v>
      </c>
      <c r="JD66" s="20">
        <v>11.24</v>
      </c>
      <c r="JE66" s="20">
        <v>11.92</v>
      </c>
      <c r="JF66" s="21">
        <v>13.2</v>
      </c>
      <c r="JG66" s="22">
        <v>14.43</v>
      </c>
      <c r="JH66" s="22">
        <v>13.67</v>
      </c>
      <c r="JI66" s="20">
        <v>17.09</v>
      </c>
      <c r="JJ66" s="23">
        <v>16.13</v>
      </c>
      <c r="JK66" s="24">
        <v>15.18</v>
      </c>
      <c r="JL66" s="24">
        <v>14.41</v>
      </c>
      <c r="JM66" s="17">
        <v>14.86</v>
      </c>
      <c r="JN66" s="17">
        <v>15.3</v>
      </c>
      <c r="JO66" s="17">
        <v>15.45</v>
      </c>
      <c r="JP66" s="17">
        <v>15.27</v>
      </c>
      <c r="JQ66" s="17">
        <v>15.21</v>
      </c>
      <c r="JR66" s="17">
        <v>16.55</v>
      </c>
      <c r="JS66" s="17">
        <v>17.84</v>
      </c>
      <c r="JT66" s="17">
        <v>18.239999999999998</v>
      </c>
      <c r="JU66" s="8">
        <v>20.78</v>
      </c>
      <c r="JV66" s="18">
        <v>19.82</v>
      </c>
      <c r="JW66" s="18">
        <v>18.84</v>
      </c>
      <c r="JX66" s="18">
        <v>18.16</v>
      </c>
      <c r="JY66" s="18">
        <v>18.399999999999999</v>
      </c>
      <c r="JZ66" s="18">
        <v>17.78</v>
      </c>
      <c r="KA66" s="18">
        <v>17.84</v>
      </c>
      <c r="KB66" s="18">
        <v>18.170000000000002</v>
      </c>
      <c r="KC66" s="18">
        <v>17.97</v>
      </c>
      <c r="KD66" s="18">
        <v>19.739999999999998</v>
      </c>
      <c r="KE66" s="18">
        <v>20</v>
      </c>
      <c r="KF66" s="2">
        <v>20.260000000000002</v>
      </c>
      <c r="KG66" s="26">
        <v>20.79</v>
      </c>
      <c r="KH66" s="26">
        <v>20.49</v>
      </c>
      <c r="KI66" s="26">
        <v>20.100000000000001</v>
      </c>
      <c r="KJ66" s="26">
        <v>19.14</v>
      </c>
      <c r="KK66" s="26">
        <v>21.58</v>
      </c>
      <c r="KL66" s="18">
        <v>19</v>
      </c>
      <c r="KM66" s="26">
        <v>19.439999999999998</v>
      </c>
      <c r="KN66" s="18">
        <v>19.29</v>
      </c>
      <c r="KO66" s="18">
        <v>19.829999999999998</v>
      </c>
      <c r="KP66" s="18">
        <v>21.83</v>
      </c>
      <c r="KQ66" s="18">
        <v>23.36</v>
      </c>
      <c r="KR66" s="18">
        <v>24.139999999999997</v>
      </c>
      <c r="KS66" s="18">
        <v>24.04</v>
      </c>
      <c r="KT66" s="18">
        <v>23.869999999999997</v>
      </c>
      <c r="KU66" s="26">
        <v>23.13</v>
      </c>
      <c r="KV66" s="18">
        <v>22.38</v>
      </c>
      <c r="KW66" s="17">
        <v>21.33</v>
      </c>
      <c r="KX66" s="17">
        <v>19.099999999999998</v>
      </c>
      <c r="KY66" s="18">
        <v>19.54</v>
      </c>
      <c r="KZ66" s="17">
        <v>20.799999999999997</v>
      </c>
      <c r="LA66" s="17">
        <v>20.58</v>
      </c>
      <c r="LB66" s="17">
        <v>20.52</v>
      </c>
      <c r="LC66" s="17">
        <v>25.84</v>
      </c>
      <c r="LD66" s="17">
        <v>27.13</v>
      </c>
      <c r="LE66" s="17">
        <v>25.84</v>
      </c>
      <c r="LF66" s="17">
        <v>26.38</v>
      </c>
      <c r="LG66" s="18">
        <v>25.25</v>
      </c>
      <c r="LH66" s="18">
        <v>24.11</v>
      </c>
      <c r="LI66" s="18">
        <v>24.749999999999996</v>
      </c>
      <c r="LJ66" s="18">
        <v>22.86</v>
      </c>
      <c r="LK66" s="18">
        <v>23.159999999999997</v>
      </c>
      <c r="LL66" s="18">
        <v>22.509999999999998</v>
      </c>
      <c r="LM66" s="18">
        <v>23.599999999999998</v>
      </c>
      <c r="LN66" s="18">
        <v>24.04</v>
      </c>
      <c r="LO66" s="18">
        <v>24.28</v>
      </c>
      <c r="LP66" s="18">
        <v>25.29</v>
      </c>
      <c r="LQ66" s="18">
        <v>25.619999999999997</v>
      </c>
      <c r="LR66" s="18">
        <v>26.81</v>
      </c>
      <c r="LS66" s="18">
        <v>25.18</v>
      </c>
      <c r="LT66" s="18">
        <v>24.2</v>
      </c>
      <c r="LU66" s="18">
        <v>24.26</v>
      </c>
      <c r="LV66" s="17">
        <v>24.669999999999998</v>
      </c>
      <c r="LW66" s="17">
        <v>25.52</v>
      </c>
      <c r="LX66" s="17">
        <v>24.07</v>
      </c>
      <c r="LY66" s="17">
        <v>24.29</v>
      </c>
      <c r="LZ66" s="17">
        <v>26.42</v>
      </c>
      <c r="MA66" s="17">
        <v>27</v>
      </c>
      <c r="MB66" s="17">
        <v>28.3</v>
      </c>
      <c r="MC66" s="17">
        <v>28.62</v>
      </c>
      <c r="MD66" s="17">
        <v>27.59</v>
      </c>
      <c r="ME66" s="17">
        <v>25.44</v>
      </c>
      <c r="MF66" s="17">
        <v>25.82</v>
      </c>
      <c r="MG66" s="17">
        <v>24.34</v>
      </c>
      <c r="MH66" s="17">
        <v>23.41</v>
      </c>
      <c r="MI66" s="17">
        <v>24.44</v>
      </c>
      <c r="MJ66" s="17">
        <v>25.37</v>
      </c>
      <c r="MK66" s="17">
        <v>25.96</v>
      </c>
      <c r="ML66" s="17">
        <v>27.38</v>
      </c>
    </row>
    <row r="67" spans="1:359" s="27" customFormat="1" ht="18.75" customHeight="1" x14ac:dyDescent="0.25">
      <c r="A67" s="18" t="s">
        <v>8</v>
      </c>
      <c r="B67" s="18" t="s">
        <v>113</v>
      </c>
      <c r="C67" s="10" t="s">
        <v>20</v>
      </c>
      <c r="D67" s="10" t="s">
        <v>89</v>
      </c>
      <c r="E67" s="10" t="s">
        <v>89</v>
      </c>
      <c r="F67" s="11" t="s">
        <v>46</v>
      </c>
      <c r="G67" s="11"/>
      <c r="H67" s="41">
        <v>141</v>
      </c>
      <c r="I67" s="13" t="s">
        <v>2</v>
      </c>
      <c r="J67" s="28">
        <v>4.16</v>
      </c>
      <c r="K67" s="15">
        <v>16.262460000000001</v>
      </c>
      <c r="L67" s="15">
        <v>81.159155999999996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7"/>
      <c r="BZ67" s="17"/>
      <c r="CA67" s="17"/>
      <c r="CB67" s="17"/>
      <c r="CC67" s="17"/>
      <c r="CD67" s="17"/>
      <c r="CE67" s="17"/>
      <c r="CF67" s="17"/>
      <c r="CG67" s="17"/>
      <c r="CH67" s="17">
        <v>4.7800002098083496</v>
      </c>
      <c r="CI67" s="17">
        <v>5.7600002288818404</v>
      </c>
      <c r="CJ67" s="17"/>
      <c r="CK67" s="17">
        <v>6.3200001716613796</v>
      </c>
      <c r="CL67" s="17">
        <v>6.4099998474121103</v>
      </c>
      <c r="CM67" s="17">
        <v>6.03999996185303</v>
      </c>
      <c r="CN67" s="17"/>
      <c r="CO67" s="17">
        <v>6.4200000762939498</v>
      </c>
      <c r="CP67" s="17">
        <v>5.5599999427795401</v>
      </c>
      <c r="CQ67" s="17"/>
      <c r="CR67" s="17"/>
      <c r="CS67" s="17">
        <v>4.6100001335143999</v>
      </c>
      <c r="CT67" s="17"/>
      <c r="CU67" s="17">
        <v>6.6399998664856001</v>
      </c>
      <c r="CV67" s="17"/>
      <c r="CW67" s="17">
        <v>6.9299998283386204</v>
      </c>
      <c r="CX67" s="17"/>
      <c r="CY67" s="17">
        <v>6.5500001907348597</v>
      </c>
      <c r="CZ67" s="17"/>
      <c r="DA67" s="17">
        <v>6.6900000572204599</v>
      </c>
      <c r="DB67" s="17"/>
      <c r="DC67" s="17">
        <v>4.8499999046325701</v>
      </c>
      <c r="DD67" s="17"/>
      <c r="DE67" s="17">
        <v>4.8299999237060502</v>
      </c>
      <c r="DF67" s="17"/>
      <c r="DG67" s="17"/>
      <c r="DH67" s="17"/>
      <c r="DI67" s="17">
        <v>6.3099999427795401</v>
      </c>
      <c r="DJ67" s="17"/>
      <c r="DK67" s="17"/>
      <c r="DL67" s="17"/>
      <c r="DM67" s="17"/>
      <c r="DN67" s="17"/>
      <c r="DO67" s="17">
        <v>4.96000003814697</v>
      </c>
      <c r="DP67" s="17"/>
      <c r="DQ67" s="17"/>
      <c r="DR67" s="17"/>
      <c r="DS67" s="17"/>
      <c r="DT67" s="17"/>
      <c r="DU67" s="17">
        <v>5.3200001716613796</v>
      </c>
      <c r="DV67" s="17"/>
      <c r="DW67" s="17"/>
      <c r="DX67" s="17"/>
      <c r="DY67" s="17"/>
      <c r="DZ67" s="17"/>
      <c r="EA67" s="17">
        <v>4.0500001907348597</v>
      </c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>
        <v>2.5899999141693102</v>
      </c>
      <c r="EO67" s="17"/>
      <c r="EP67" s="17"/>
      <c r="EQ67" s="17">
        <v>2.4000000953674299</v>
      </c>
      <c r="ER67" s="17"/>
      <c r="ES67" s="17">
        <v>3.0199999809265101</v>
      </c>
      <c r="ET67" s="17"/>
      <c r="EU67" s="17">
        <v>1.6399999856948899</v>
      </c>
      <c r="EV67" s="17"/>
      <c r="EW67" s="17">
        <v>2.3800001144409202</v>
      </c>
      <c r="EX67" s="17"/>
      <c r="EY67" s="17">
        <v>2.03999996185303</v>
      </c>
      <c r="EZ67" s="17"/>
      <c r="FA67" s="17"/>
      <c r="FB67" s="17">
        <v>3.6099998950958199</v>
      </c>
      <c r="FC67" s="17">
        <v>2.1500000953674299</v>
      </c>
      <c r="FD67" s="17"/>
      <c r="FE67" s="17">
        <v>2.3699998855590798</v>
      </c>
      <c r="FF67" s="17"/>
      <c r="FG67" s="17">
        <v>2.6700000762939502</v>
      </c>
      <c r="FH67" s="17"/>
      <c r="FI67" s="17">
        <v>1.79999995231628</v>
      </c>
      <c r="FJ67" s="17"/>
      <c r="FK67" s="17">
        <v>1.12000000476837</v>
      </c>
      <c r="FL67" s="17"/>
      <c r="FM67" s="17">
        <v>1.95000004768372</v>
      </c>
      <c r="FN67" s="17"/>
      <c r="FO67" s="17">
        <v>2.1300001144409202</v>
      </c>
      <c r="FP67" s="17"/>
      <c r="FQ67" s="17">
        <v>2.5</v>
      </c>
      <c r="FR67" s="17"/>
      <c r="FS67" s="17">
        <v>2.2999999523162802</v>
      </c>
      <c r="FT67" s="17">
        <v>2</v>
      </c>
      <c r="FU67" s="17">
        <v>1.8500000238418599</v>
      </c>
      <c r="FV67" s="17"/>
      <c r="FW67" s="17">
        <v>1.54999995231628</v>
      </c>
      <c r="FX67" s="17"/>
      <c r="FY67" s="17">
        <v>1.5</v>
      </c>
      <c r="FZ67" s="17"/>
      <c r="GA67" s="17">
        <v>1.8999999761581401</v>
      </c>
      <c r="GB67" s="17"/>
      <c r="GC67" s="17">
        <v>2.5</v>
      </c>
      <c r="GD67" s="17"/>
      <c r="GE67" s="17">
        <v>2.6500000953674299</v>
      </c>
      <c r="GF67" s="17">
        <v>2.5</v>
      </c>
      <c r="GG67" s="17">
        <v>2.46000003814697</v>
      </c>
      <c r="GH67" s="17"/>
      <c r="GI67" s="17"/>
      <c r="GJ67" s="17">
        <v>2.1800000667571999</v>
      </c>
      <c r="GK67" s="17">
        <v>2.1199998855590798</v>
      </c>
      <c r="GL67" s="17"/>
      <c r="GM67" s="17">
        <v>2.7799999713897701</v>
      </c>
      <c r="GN67" s="17"/>
      <c r="GO67" s="17">
        <v>3.3499999046325701</v>
      </c>
      <c r="GP67" s="17"/>
      <c r="GQ67" s="17">
        <v>3.2999999523162802</v>
      </c>
      <c r="GR67" s="17"/>
      <c r="GS67" s="17">
        <v>3.1500000953674299</v>
      </c>
      <c r="GT67" s="17"/>
      <c r="GU67" s="17">
        <v>3.3199999332428001</v>
      </c>
      <c r="GV67" s="17"/>
      <c r="GW67" s="17">
        <v>2.9000000953674299</v>
      </c>
      <c r="GX67" s="17"/>
      <c r="GY67" s="17">
        <v>3.7200000286102299</v>
      </c>
      <c r="GZ67" s="17"/>
      <c r="HA67" s="17">
        <v>4.3200001716613796</v>
      </c>
      <c r="HB67" s="17"/>
      <c r="HC67" s="17">
        <v>4.0999999046325701</v>
      </c>
      <c r="HD67" s="17"/>
      <c r="HE67" s="17">
        <v>4.1500000953674299</v>
      </c>
      <c r="HF67" s="17"/>
      <c r="HG67" s="17">
        <v>3.7999999523162802</v>
      </c>
      <c r="HH67" s="17"/>
      <c r="HI67" s="17">
        <v>3.9700000286102299</v>
      </c>
      <c r="HJ67" s="17">
        <v>4.1999998092651403</v>
      </c>
      <c r="HK67" s="17">
        <v>4.8600001335143999</v>
      </c>
      <c r="HL67" s="17">
        <v>5.21000003814697</v>
      </c>
      <c r="HM67" s="17">
        <v>5.3200001716613796</v>
      </c>
      <c r="HN67" s="17">
        <v>5.4899997711181596</v>
      </c>
      <c r="HO67" s="17">
        <v>5.5700001716613796</v>
      </c>
      <c r="HP67" s="17">
        <v>5.7600002288818404</v>
      </c>
      <c r="HQ67" s="17">
        <v>5.2399997711181596</v>
      </c>
      <c r="HR67" s="17">
        <v>5.4800000190734899</v>
      </c>
      <c r="HS67" s="17">
        <v>5.3099999427795401</v>
      </c>
      <c r="HT67" s="17">
        <v>5.0599999427795401</v>
      </c>
      <c r="HU67" s="17">
        <v>5.3200001716613796</v>
      </c>
      <c r="HV67" s="17">
        <v>5.7399997711181596</v>
      </c>
      <c r="HW67" s="17">
        <v>6.0100002288818404</v>
      </c>
      <c r="HX67" s="17">
        <v>6.1799998283386204</v>
      </c>
      <c r="HY67" s="17">
        <v>6.4200000762939498</v>
      </c>
      <c r="HZ67" s="17">
        <v>6.0199999809265101</v>
      </c>
      <c r="IA67" s="17">
        <v>6.03999996185303</v>
      </c>
      <c r="IB67" s="17">
        <v>6.3699998855590803</v>
      </c>
      <c r="IC67" s="17">
        <v>6.5199999809265101</v>
      </c>
      <c r="ID67" s="17">
        <v>6.8699998855590803</v>
      </c>
      <c r="IE67" s="17">
        <v>6.5900001525878897</v>
      </c>
      <c r="IF67" s="17">
        <v>7</v>
      </c>
      <c r="IG67" s="17">
        <v>6.6399998664856001</v>
      </c>
      <c r="IH67" s="17">
        <v>7.1399998664856001</v>
      </c>
      <c r="II67" s="17">
        <v>7.6399998664856001</v>
      </c>
      <c r="IJ67" s="17">
        <v>7.9000000953674299</v>
      </c>
      <c r="IK67" s="17">
        <v>7.9000000953674299</v>
      </c>
      <c r="IL67" s="17"/>
      <c r="IM67" s="17"/>
      <c r="IN67" s="17"/>
      <c r="IO67" s="17"/>
      <c r="IP67" s="17"/>
      <c r="IQ67" s="17"/>
      <c r="IR67" s="17"/>
      <c r="IS67" s="18">
        <v>7.46</v>
      </c>
      <c r="IT67" s="18">
        <v>7.95</v>
      </c>
      <c r="IU67" s="18">
        <v>8.86</v>
      </c>
      <c r="IV67" s="18">
        <v>9.41</v>
      </c>
      <c r="IW67" s="18">
        <v>10.16</v>
      </c>
      <c r="IX67" s="18">
        <v>9.7200000000000006</v>
      </c>
      <c r="IY67" s="18">
        <v>9.36</v>
      </c>
      <c r="IZ67" s="19">
        <v>9.7200000000000006</v>
      </c>
      <c r="JA67" s="20">
        <v>9.34</v>
      </c>
      <c r="JB67" s="20">
        <v>9.0399999999999991</v>
      </c>
      <c r="JC67" s="20">
        <v>9.32</v>
      </c>
      <c r="JD67" s="20">
        <v>9.64</v>
      </c>
      <c r="JE67" s="20">
        <v>10.07</v>
      </c>
      <c r="JF67" s="21">
        <v>10.77</v>
      </c>
      <c r="JG67" s="22">
        <v>11.49</v>
      </c>
      <c r="JH67" s="22">
        <v>12.27</v>
      </c>
      <c r="JI67" s="20">
        <v>12.86</v>
      </c>
      <c r="JJ67" s="23">
        <v>12.64</v>
      </c>
      <c r="JK67" s="24">
        <v>11.93</v>
      </c>
      <c r="JL67" s="24">
        <v>11.54</v>
      </c>
      <c r="JM67" s="17">
        <v>11.66</v>
      </c>
      <c r="JN67" s="17">
        <v>12.06</v>
      </c>
      <c r="JO67" s="17">
        <v>12.11</v>
      </c>
      <c r="JP67" s="17">
        <v>12.14</v>
      </c>
      <c r="JQ67" s="17">
        <v>12.43</v>
      </c>
      <c r="JR67" s="17">
        <v>12.98</v>
      </c>
      <c r="JS67" s="17">
        <v>13.75</v>
      </c>
      <c r="JT67" s="17">
        <v>14.33</v>
      </c>
      <c r="JU67" s="17">
        <v>15.86</v>
      </c>
      <c r="JV67" s="18">
        <v>15.04</v>
      </c>
      <c r="JW67" s="18">
        <v>14.62</v>
      </c>
      <c r="JX67" s="18">
        <v>14.37</v>
      </c>
      <c r="JY67" s="18">
        <v>14.24</v>
      </c>
      <c r="JZ67" s="18">
        <v>13.45</v>
      </c>
      <c r="KA67" s="18">
        <v>16.649999999999999</v>
      </c>
      <c r="KB67" s="18">
        <v>16.87</v>
      </c>
      <c r="KC67" s="18">
        <v>17.260000000000002</v>
      </c>
      <c r="KD67" s="18">
        <v>14.99</v>
      </c>
      <c r="KE67" s="18">
        <v>15.22</v>
      </c>
      <c r="KF67" s="2">
        <v>15.46</v>
      </c>
      <c r="KG67" s="26">
        <v>15.94</v>
      </c>
      <c r="KH67" s="26">
        <v>15.72</v>
      </c>
      <c r="KI67" s="26">
        <v>14.83</v>
      </c>
      <c r="KJ67" s="26">
        <v>13.42</v>
      </c>
      <c r="KK67" s="26">
        <v>15.09</v>
      </c>
      <c r="KL67" s="18">
        <v>12.46</v>
      </c>
      <c r="KM67" s="26">
        <v>13.790000000000001</v>
      </c>
      <c r="KN67" s="18">
        <v>13.26</v>
      </c>
      <c r="KO67" s="18">
        <v>14.5</v>
      </c>
      <c r="KP67" s="18">
        <v>15.940000000000001</v>
      </c>
      <c r="KQ67" s="18">
        <v>16.740000000000002</v>
      </c>
      <c r="KR67" s="18">
        <v>17.34</v>
      </c>
      <c r="KS67" s="18">
        <v>17.39</v>
      </c>
      <c r="KT67" s="18">
        <v>17.12</v>
      </c>
      <c r="KU67" s="26">
        <v>15.7</v>
      </c>
      <c r="KV67" s="18">
        <v>14.280000000000001</v>
      </c>
      <c r="KW67" s="17">
        <v>13.700000000000001</v>
      </c>
      <c r="KX67" s="17">
        <v>13.5</v>
      </c>
      <c r="KY67" s="18">
        <v>12.55</v>
      </c>
      <c r="KZ67" s="17">
        <v>12.63</v>
      </c>
      <c r="LA67" s="17">
        <v>12.82</v>
      </c>
      <c r="LB67" s="17">
        <v>13.26</v>
      </c>
      <c r="LC67" s="17">
        <v>18.240000000000002</v>
      </c>
      <c r="LD67" s="17">
        <v>19.64</v>
      </c>
      <c r="LE67" s="17">
        <v>18.84</v>
      </c>
      <c r="LF67" s="17">
        <v>19.14</v>
      </c>
      <c r="LG67" s="18">
        <v>18.28</v>
      </c>
      <c r="LH67" s="18">
        <v>17.75</v>
      </c>
      <c r="LI67" s="18">
        <v>18</v>
      </c>
      <c r="LJ67" s="18">
        <v>17.34</v>
      </c>
      <c r="LK67" s="18">
        <v>16.97</v>
      </c>
      <c r="LL67" s="18">
        <v>15.59</v>
      </c>
      <c r="LM67" s="18">
        <v>17.25</v>
      </c>
      <c r="LN67" s="18">
        <v>17.54</v>
      </c>
      <c r="LO67" s="18">
        <v>17.32</v>
      </c>
      <c r="LP67" s="18">
        <v>18.740000000000002</v>
      </c>
      <c r="LQ67" s="18">
        <v>18.57</v>
      </c>
      <c r="LR67" s="18">
        <v>19.14</v>
      </c>
      <c r="LS67" s="18">
        <v>18.14</v>
      </c>
      <c r="LT67" s="18">
        <v>17.920000000000002</v>
      </c>
      <c r="LU67" s="18">
        <v>17.95</v>
      </c>
      <c r="LV67" s="17">
        <v>18.64</v>
      </c>
      <c r="LW67" s="17">
        <v>18.720000000000002</v>
      </c>
      <c r="LX67" s="17">
        <v>17.93</v>
      </c>
      <c r="LY67" s="17">
        <v>18.16</v>
      </c>
      <c r="LZ67" s="17">
        <v>19</v>
      </c>
      <c r="MA67" s="17">
        <v>19.7</v>
      </c>
      <c r="MB67" s="17">
        <v>20.450000000000003</v>
      </c>
      <c r="MC67" s="17">
        <v>20.66</v>
      </c>
      <c r="MD67" s="17">
        <v>20.060000000000002</v>
      </c>
      <c r="ME67" s="17">
        <v>18.740000000000002</v>
      </c>
      <c r="MF67" s="17">
        <v>19.16</v>
      </c>
      <c r="MG67" s="17">
        <v>18.3</v>
      </c>
      <c r="MH67" s="17">
        <v>18.200000000000003</v>
      </c>
      <c r="MI67" s="17">
        <v>18.8</v>
      </c>
      <c r="MJ67" s="17">
        <v>18.670000000000002</v>
      </c>
      <c r="MK67" s="17">
        <v>19.380000000000003</v>
      </c>
      <c r="ML67" s="17">
        <v>19.770000000000003</v>
      </c>
    </row>
    <row r="68" spans="1:359" s="27" customFormat="1" ht="18.75" customHeight="1" x14ac:dyDescent="0.25">
      <c r="A68" s="8" t="s">
        <v>6</v>
      </c>
      <c r="B68" s="18" t="s">
        <v>114</v>
      </c>
      <c r="C68" s="39" t="s">
        <v>20</v>
      </c>
      <c r="D68" s="39" t="s">
        <v>58</v>
      </c>
      <c r="E68" s="39" t="s">
        <v>115</v>
      </c>
      <c r="F68" s="39"/>
      <c r="G68" s="39" t="s">
        <v>5</v>
      </c>
      <c r="H68" s="41"/>
      <c r="I68" s="39" t="s">
        <v>61</v>
      </c>
      <c r="J68" s="10"/>
      <c r="K68" s="10"/>
      <c r="L68" s="10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37">
        <v>5.57</v>
      </c>
      <c r="BZ68" s="37">
        <v>4.7300000000000004</v>
      </c>
      <c r="CA68" s="37">
        <v>4.74</v>
      </c>
      <c r="CB68" s="37">
        <v>2.4500000000000002</v>
      </c>
      <c r="CC68" s="37">
        <v>2.7</v>
      </c>
      <c r="CD68" s="37">
        <v>2.42</v>
      </c>
      <c r="CE68" s="37">
        <v>3.18</v>
      </c>
      <c r="CF68" s="37">
        <v>3.99</v>
      </c>
      <c r="CG68" s="37">
        <v>4.75</v>
      </c>
      <c r="CH68" s="37">
        <v>6.24</v>
      </c>
      <c r="CI68" s="37">
        <v>7.06</v>
      </c>
      <c r="CJ68" s="37">
        <v>8.1300000000000008</v>
      </c>
      <c r="CK68" s="37">
        <v>7.27</v>
      </c>
      <c r="CL68" s="37">
        <v>6.9349999999999996</v>
      </c>
      <c r="CM68" s="37">
        <v>6.6</v>
      </c>
      <c r="CN68" s="37">
        <v>2.58</v>
      </c>
      <c r="CO68" s="37">
        <v>3.78</v>
      </c>
      <c r="CP68" s="37">
        <v>3.57</v>
      </c>
      <c r="CQ68" s="37">
        <v>4.12</v>
      </c>
      <c r="CR68" s="37">
        <v>4.2300000000000004</v>
      </c>
      <c r="CS68" s="37">
        <v>5.01</v>
      </c>
      <c r="CT68" s="37">
        <v>5.51</v>
      </c>
      <c r="CU68" s="37">
        <v>6.3</v>
      </c>
      <c r="CV68" s="37">
        <v>6.91</v>
      </c>
      <c r="CW68" s="37">
        <v>7.03</v>
      </c>
      <c r="CX68" s="37">
        <v>6.09</v>
      </c>
      <c r="CY68" s="37">
        <v>5.03</v>
      </c>
      <c r="CZ68" s="37">
        <v>2.2200000000000002</v>
      </c>
      <c r="DA68" s="37">
        <v>2.9</v>
      </c>
      <c r="DB68" s="37">
        <v>3.42</v>
      </c>
      <c r="DC68" s="37">
        <v>4.21</v>
      </c>
      <c r="DD68" s="37">
        <v>4.7300000000000004</v>
      </c>
      <c r="DE68" s="37">
        <v>5.28</v>
      </c>
      <c r="DF68" s="37">
        <v>5.77</v>
      </c>
      <c r="DG68" s="37">
        <v>8.48</v>
      </c>
      <c r="DH68" s="37">
        <v>7.07</v>
      </c>
      <c r="DI68" s="37">
        <v>7.47</v>
      </c>
      <c r="DJ68" s="37">
        <v>8.15</v>
      </c>
      <c r="DK68" s="37">
        <v>6.69</v>
      </c>
      <c r="DL68" s="37">
        <v>2.95</v>
      </c>
      <c r="DM68" s="37">
        <v>0.55000000000000004</v>
      </c>
      <c r="DN68" s="37">
        <v>0.72</v>
      </c>
      <c r="DO68" s="37">
        <v>1.48</v>
      </c>
      <c r="DP68" s="37">
        <v>1.95</v>
      </c>
      <c r="DQ68" s="37">
        <v>2.89</v>
      </c>
      <c r="DR68" s="37">
        <v>2.8250000000000002</v>
      </c>
      <c r="DS68" s="37">
        <v>3</v>
      </c>
      <c r="DT68" s="37">
        <v>3.55</v>
      </c>
      <c r="DU68" s="37">
        <v>4.28</v>
      </c>
      <c r="DV68" s="37">
        <v>4.87</v>
      </c>
      <c r="DW68" s="37">
        <v>5.4</v>
      </c>
      <c r="DX68" s="37">
        <v>3.59</v>
      </c>
      <c r="DY68" s="37">
        <v>1.175</v>
      </c>
      <c r="DZ68" s="37">
        <v>2.9350000000000001</v>
      </c>
      <c r="EA68" s="37">
        <v>3.22</v>
      </c>
      <c r="EB68" s="37">
        <v>3.625</v>
      </c>
      <c r="EC68" s="37">
        <v>4.1100000000000003</v>
      </c>
      <c r="ED68" s="37">
        <v>4.585</v>
      </c>
      <c r="EE68" s="37">
        <v>5.1349999999999998</v>
      </c>
      <c r="EF68" s="37">
        <v>5.6849999999999996</v>
      </c>
      <c r="EG68" s="37">
        <v>5.8849999999999998</v>
      </c>
      <c r="EH68" s="37">
        <v>5.2249999999999996</v>
      </c>
      <c r="EI68" s="37">
        <v>2.6949999999999998</v>
      </c>
      <c r="EJ68" s="37">
        <v>1.825</v>
      </c>
      <c r="EK68" s="37">
        <v>0.51500000000000001</v>
      </c>
      <c r="EL68" s="37">
        <v>1.2749999999999999</v>
      </c>
      <c r="EM68" s="37">
        <v>2.0150000000000001</v>
      </c>
      <c r="EN68" s="37">
        <v>2.94</v>
      </c>
      <c r="EO68" s="37">
        <v>3.14</v>
      </c>
      <c r="EP68" s="37">
        <v>3.63</v>
      </c>
      <c r="EQ68" s="37">
        <v>3.64</v>
      </c>
      <c r="ER68" s="37">
        <v>4.16</v>
      </c>
      <c r="ES68" s="37">
        <v>4.55</v>
      </c>
      <c r="ET68" s="37">
        <v>5.27</v>
      </c>
      <c r="EU68" s="37">
        <v>5.35</v>
      </c>
      <c r="EV68" s="37">
        <v>0.9</v>
      </c>
      <c r="EW68" s="37">
        <v>0.41</v>
      </c>
      <c r="EX68" s="37">
        <v>1.96</v>
      </c>
      <c r="EY68" s="37">
        <v>2.48</v>
      </c>
      <c r="EZ68" s="37">
        <v>2.78</v>
      </c>
      <c r="FA68" s="37">
        <v>3.18</v>
      </c>
      <c r="FB68" s="37">
        <v>4.1900000000000004</v>
      </c>
      <c r="FC68" s="37">
        <v>4.78</v>
      </c>
      <c r="FD68" s="37">
        <v>5.43</v>
      </c>
      <c r="FE68" s="37">
        <v>5.99</v>
      </c>
      <c r="FF68" s="37">
        <v>5.22</v>
      </c>
      <c r="FG68" s="37">
        <v>5.3</v>
      </c>
      <c r="FH68" s="37">
        <v>5.33</v>
      </c>
      <c r="FI68" s="37">
        <v>4.0599999999999996</v>
      </c>
      <c r="FJ68" s="37">
        <v>3.9</v>
      </c>
      <c r="FK68" s="37">
        <v>4.51</v>
      </c>
      <c r="FL68" s="37">
        <v>5</v>
      </c>
      <c r="FM68" s="37">
        <v>5.12</v>
      </c>
      <c r="FN68" s="37">
        <v>5.65</v>
      </c>
      <c r="FO68" s="37">
        <v>5.96</v>
      </c>
      <c r="FP68" s="37">
        <v>6.51</v>
      </c>
      <c r="FQ68" s="37">
        <v>4.28</v>
      </c>
      <c r="FR68" s="37">
        <v>3.58</v>
      </c>
      <c r="FS68" s="37">
        <v>1.57</v>
      </c>
      <c r="FT68" s="37">
        <v>1.47</v>
      </c>
      <c r="FU68" s="37">
        <v>1.48</v>
      </c>
      <c r="FV68" s="37">
        <v>2.38</v>
      </c>
      <c r="FW68" s="37">
        <v>2.58</v>
      </c>
      <c r="FX68" s="37">
        <v>2.63</v>
      </c>
      <c r="FY68" s="37">
        <v>3.14</v>
      </c>
      <c r="FZ68" s="37">
        <v>3.41</v>
      </c>
      <c r="GA68" s="37">
        <v>3.78</v>
      </c>
      <c r="GB68" s="37">
        <v>4.24</v>
      </c>
      <c r="GC68" s="37">
        <v>4.57</v>
      </c>
      <c r="GD68" s="37">
        <v>3.89</v>
      </c>
      <c r="GE68" s="37">
        <v>2.83</v>
      </c>
      <c r="GF68" s="37">
        <v>2.81</v>
      </c>
      <c r="GG68" s="37">
        <v>1.73</v>
      </c>
      <c r="GH68" s="37">
        <v>3.11</v>
      </c>
      <c r="GI68" s="37">
        <v>3.58</v>
      </c>
      <c r="GJ68" s="37">
        <v>4.03</v>
      </c>
      <c r="GK68" s="37">
        <v>4.2</v>
      </c>
      <c r="GL68" s="37">
        <v>5.64</v>
      </c>
      <c r="GM68" s="37">
        <v>4.9000000000000004</v>
      </c>
      <c r="GN68" s="37">
        <v>5.5</v>
      </c>
      <c r="GO68" s="37">
        <v>5.69</v>
      </c>
      <c r="GP68" s="37">
        <v>5.13</v>
      </c>
      <c r="GQ68" s="37">
        <v>2.15</v>
      </c>
      <c r="GR68" s="37">
        <v>1.45</v>
      </c>
      <c r="GS68" s="37">
        <v>1.18</v>
      </c>
      <c r="GT68" s="37">
        <v>2.0499999999999998</v>
      </c>
      <c r="GU68" s="37">
        <v>1.51</v>
      </c>
      <c r="GV68" s="37">
        <v>2.64</v>
      </c>
      <c r="GW68" s="37">
        <v>3.08</v>
      </c>
      <c r="GX68" s="37">
        <v>3.21</v>
      </c>
      <c r="GY68" s="37">
        <v>3.65</v>
      </c>
      <c r="GZ68" s="37">
        <v>4.3</v>
      </c>
      <c r="HA68" s="37">
        <v>4.9800000000000004</v>
      </c>
      <c r="HB68" s="37">
        <v>13.56</v>
      </c>
      <c r="HC68" s="37">
        <v>10.78</v>
      </c>
      <c r="HD68" s="37">
        <v>10.14</v>
      </c>
      <c r="HE68" s="37">
        <v>10.28</v>
      </c>
      <c r="HF68" s="37">
        <v>5.54</v>
      </c>
      <c r="HG68" s="37">
        <v>5.88</v>
      </c>
      <c r="HH68" s="37">
        <v>8.85</v>
      </c>
      <c r="HI68" s="37">
        <v>9.81</v>
      </c>
      <c r="HJ68" s="37">
        <v>10.35</v>
      </c>
      <c r="HK68" s="37">
        <v>11.56</v>
      </c>
      <c r="HL68" s="37">
        <v>11.7</v>
      </c>
      <c r="HM68" s="37">
        <v>12.7</v>
      </c>
      <c r="HN68" s="37">
        <v>15.17</v>
      </c>
      <c r="HO68" s="37">
        <v>14.35</v>
      </c>
      <c r="HP68" s="37">
        <v>14.4</v>
      </c>
      <c r="HQ68" s="37">
        <v>11.75</v>
      </c>
      <c r="HR68" s="37">
        <v>12.3</v>
      </c>
      <c r="HS68" s="38">
        <v>11.45</v>
      </c>
      <c r="HT68" s="37">
        <v>12.38</v>
      </c>
      <c r="HU68" s="37">
        <v>14.15</v>
      </c>
      <c r="HV68" s="37">
        <v>14.95</v>
      </c>
      <c r="HW68" s="37">
        <v>16.25</v>
      </c>
      <c r="HX68" s="37">
        <v>17.03</v>
      </c>
      <c r="HY68" s="37">
        <v>19.13</v>
      </c>
      <c r="HZ68" s="37">
        <v>16.12</v>
      </c>
      <c r="IA68" s="37">
        <v>16.23</v>
      </c>
      <c r="IB68" s="37">
        <v>15.25</v>
      </c>
      <c r="IC68" s="37">
        <v>12.49</v>
      </c>
      <c r="ID68" s="37">
        <v>13.53</v>
      </c>
      <c r="IE68" s="37">
        <v>14.73</v>
      </c>
      <c r="IF68" s="37">
        <v>15.31</v>
      </c>
      <c r="IG68" s="37">
        <v>16.649999999999999</v>
      </c>
      <c r="IH68" s="37">
        <v>19.193999999999999</v>
      </c>
      <c r="II68" s="37">
        <v>19.12</v>
      </c>
      <c r="IJ68" s="37">
        <v>19.902000000000001</v>
      </c>
      <c r="IK68" s="37">
        <v>18.899999999999999</v>
      </c>
      <c r="IL68" s="37">
        <v>13.836</v>
      </c>
      <c r="IM68" s="37">
        <v>14.72</v>
      </c>
      <c r="IN68" s="37">
        <v>14.69</v>
      </c>
      <c r="IO68" s="37">
        <v>12.92</v>
      </c>
      <c r="IP68" s="37">
        <v>14.23</v>
      </c>
      <c r="IQ68" s="37">
        <v>14.477</v>
      </c>
      <c r="IR68" s="37">
        <v>15.14</v>
      </c>
      <c r="IS68" s="1">
        <v>16.716999999999999</v>
      </c>
      <c r="IT68" s="1">
        <v>17.815999999999999</v>
      </c>
      <c r="IU68" s="1">
        <v>18.806999999999999</v>
      </c>
      <c r="IV68" s="1">
        <v>19.579000000000001</v>
      </c>
      <c r="IW68" s="1">
        <v>20.07</v>
      </c>
      <c r="IX68" s="1">
        <v>18.131</v>
      </c>
      <c r="IY68" s="1">
        <v>14.587</v>
      </c>
      <c r="IZ68" s="1">
        <v>14.002000000000001</v>
      </c>
      <c r="JA68" s="1">
        <v>13.58</v>
      </c>
      <c r="JB68" s="1">
        <v>13.2</v>
      </c>
      <c r="JC68" s="1">
        <v>14.180999999999999</v>
      </c>
      <c r="JD68" s="1">
        <v>15.695</v>
      </c>
      <c r="JE68" s="1">
        <v>17.507999999999999</v>
      </c>
      <c r="JF68" s="1">
        <v>17.79</v>
      </c>
      <c r="JG68" s="1">
        <v>19.937000000000001</v>
      </c>
      <c r="JH68" s="1">
        <v>20.276</v>
      </c>
      <c r="JI68" s="1">
        <v>21.234000000000002</v>
      </c>
      <c r="JJ68" s="1">
        <v>21.056000000000001</v>
      </c>
      <c r="JK68" s="1">
        <v>17.082999999999998</v>
      </c>
      <c r="JL68" s="1">
        <v>12.714</v>
      </c>
      <c r="JM68" s="1">
        <v>14.353</v>
      </c>
      <c r="JN68" s="1">
        <v>15.65</v>
      </c>
      <c r="JO68" s="1">
        <v>15.64</v>
      </c>
      <c r="JP68" s="1">
        <v>14.94</v>
      </c>
      <c r="JQ68" s="1">
        <v>16.966999999999999</v>
      </c>
      <c r="JR68" s="1">
        <v>18.286000000000001</v>
      </c>
      <c r="JS68" s="1">
        <v>18.995000000000001</v>
      </c>
      <c r="JT68" s="1">
        <v>19.664000000000001</v>
      </c>
      <c r="JU68" s="1">
        <v>19.91</v>
      </c>
      <c r="JV68" s="1">
        <v>20.89</v>
      </c>
      <c r="JW68" s="1">
        <v>18.690000000000001</v>
      </c>
      <c r="JX68" s="1">
        <v>15.74</v>
      </c>
      <c r="JY68" s="1">
        <v>14.41</v>
      </c>
      <c r="JZ68" s="1">
        <v>14.1</v>
      </c>
      <c r="KA68" s="1">
        <v>14.44</v>
      </c>
      <c r="KB68" s="1">
        <v>15.08</v>
      </c>
      <c r="KC68" s="1">
        <v>16.010000000000002</v>
      </c>
      <c r="KD68" s="1">
        <v>16.18</v>
      </c>
      <c r="KE68" s="1">
        <v>15.87</v>
      </c>
      <c r="KF68" s="1">
        <v>17.670000000000002</v>
      </c>
      <c r="KG68" s="1">
        <v>19.48</v>
      </c>
      <c r="KH68" s="1">
        <v>18.739999999999998</v>
      </c>
      <c r="KI68" s="1">
        <v>18.22</v>
      </c>
      <c r="KJ68" s="1">
        <v>16.015000000000001</v>
      </c>
      <c r="KK68" s="1">
        <v>14.91</v>
      </c>
      <c r="KL68" s="1">
        <v>13.81</v>
      </c>
      <c r="KM68" s="1">
        <v>11.81</v>
      </c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</row>
    <row r="69" spans="1:359" ht="15.75" x14ac:dyDescent="0.25">
      <c r="A69" s="8" t="s">
        <v>0</v>
      </c>
      <c r="B69" s="39">
        <v>21348</v>
      </c>
      <c r="C69" s="39" t="s">
        <v>116</v>
      </c>
      <c r="D69" s="39" t="s">
        <v>117</v>
      </c>
      <c r="E69" s="39" t="s">
        <v>118</v>
      </c>
      <c r="F69" s="39" t="s">
        <v>67</v>
      </c>
      <c r="G69" s="39" t="s">
        <v>209</v>
      </c>
      <c r="H69" s="41">
        <v>39.630000000000003</v>
      </c>
      <c r="I69" s="39" t="s">
        <v>119</v>
      </c>
      <c r="J69" s="40">
        <v>99.386099999999999</v>
      </c>
      <c r="K69" s="39">
        <v>16.987940999999999</v>
      </c>
      <c r="L69" s="39">
        <v>80.657540999999995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v>7.85</v>
      </c>
      <c r="Y69" s="1">
        <v>7.85</v>
      </c>
      <c r="Z69" s="1">
        <v>7.9</v>
      </c>
      <c r="AA69" s="1">
        <v>8.1300000000000008</v>
      </c>
      <c r="AB69" s="1">
        <v>9</v>
      </c>
      <c r="AC69" s="1">
        <v>9.8699999999999992</v>
      </c>
      <c r="AD69" s="1">
        <v>9.92</v>
      </c>
      <c r="AE69" s="1">
        <v>9.23</v>
      </c>
      <c r="AF69" s="1">
        <v>5.96</v>
      </c>
      <c r="AG69" s="1">
        <v>3.15</v>
      </c>
      <c r="AH69" s="1">
        <v>2.65</v>
      </c>
      <c r="AI69" s="1">
        <v>3</v>
      </c>
      <c r="AJ69" s="1">
        <v>3.02</v>
      </c>
      <c r="AK69" s="1">
        <v>3.76</v>
      </c>
      <c r="AL69" s="1">
        <v>4.42</v>
      </c>
      <c r="AM69" s="1">
        <v>5</v>
      </c>
      <c r="AN69" s="1">
        <v>6.39</v>
      </c>
      <c r="AO69" s="1">
        <v>7.63</v>
      </c>
      <c r="AP69" s="1">
        <v>7.15</v>
      </c>
      <c r="AQ69" s="1">
        <v>7.8</v>
      </c>
      <c r="AR69" s="1">
        <v>4.28</v>
      </c>
      <c r="AS69" s="1">
        <v>3.73</v>
      </c>
      <c r="AT69" s="1">
        <v>3.91</v>
      </c>
      <c r="AU69" s="1">
        <v>3.71</v>
      </c>
      <c r="AV69" s="1">
        <v>5.94</v>
      </c>
      <c r="AW69" s="1">
        <v>6.32</v>
      </c>
      <c r="AX69" s="1">
        <v>6.43</v>
      </c>
      <c r="AY69" s="1">
        <v>6.67</v>
      </c>
      <c r="AZ69" s="1">
        <v>7.19</v>
      </c>
      <c r="BA69" s="1">
        <v>9.08</v>
      </c>
      <c r="BB69" s="1">
        <v>7.77</v>
      </c>
      <c r="BC69" s="1">
        <v>6.09</v>
      </c>
      <c r="BD69" s="1">
        <v>1.35</v>
      </c>
      <c r="BE69" s="1">
        <v>2.4900000000000002</v>
      </c>
      <c r="BF69" s="1">
        <v>3.86</v>
      </c>
      <c r="BG69" s="1">
        <v>4.8</v>
      </c>
      <c r="BH69" s="1">
        <v>6</v>
      </c>
      <c r="BI69" s="1">
        <v>6.82</v>
      </c>
      <c r="BJ69" s="1">
        <v>6.91</v>
      </c>
      <c r="BK69" s="1">
        <v>7.95</v>
      </c>
      <c r="BL69" s="1">
        <v>8.43</v>
      </c>
      <c r="BM69" s="1">
        <v>9.14</v>
      </c>
      <c r="BN69" s="1">
        <v>9.09</v>
      </c>
      <c r="BO69" s="1">
        <v>9.74</v>
      </c>
      <c r="BP69" s="1">
        <v>8.4700000000000006</v>
      </c>
      <c r="BQ69" s="1">
        <v>8.7799999999999994</v>
      </c>
      <c r="BR69" s="1">
        <v>6.56</v>
      </c>
      <c r="BS69" s="1">
        <v>7.76</v>
      </c>
      <c r="BT69" s="1">
        <v>8.44</v>
      </c>
      <c r="BU69" s="1">
        <v>9.0299999999999994</v>
      </c>
      <c r="BV69" s="1">
        <v>9.68</v>
      </c>
      <c r="BW69" s="1">
        <v>9.52</v>
      </c>
      <c r="BX69" s="1">
        <v>10.199999999999999</v>
      </c>
      <c r="BY69" s="1">
        <v>10.41</v>
      </c>
      <c r="BZ69" s="1">
        <v>10.42</v>
      </c>
      <c r="CA69" s="1">
        <v>11.02</v>
      </c>
      <c r="CB69" s="1">
        <v>10.210000000000001</v>
      </c>
      <c r="CC69" s="1">
        <v>9.42</v>
      </c>
      <c r="CD69" s="1">
        <v>9.8000000000000007</v>
      </c>
      <c r="CE69" s="1">
        <v>10.59</v>
      </c>
      <c r="CF69" s="1">
        <v>11.38</v>
      </c>
      <c r="CG69" s="1">
        <v>11.96</v>
      </c>
      <c r="CH69" s="1">
        <v>12.59</v>
      </c>
      <c r="CI69" s="1">
        <v>12.6</v>
      </c>
      <c r="CJ69" s="1">
        <v>13.22</v>
      </c>
      <c r="CK69" s="1">
        <v>14.45</v>
      </c>
      <c r="CL69" s="1">
        <v>14.65</v>
      </c>
      <c r="CM69" s="1">
        <v>12.17</v>
      </c>
      <c r="CN69" s="1">
        <v>8.1199999999999992</v>
      </c>
      <c r="CO69" s="1">
        <v>9.48</v>
      </c>
      <c r="CP69" s="1">
        <v>7.61</v>
      </c>
      <c r="CQ69" s="1">
        <v>8.17</v>
      </c>
      <c r="CR69" s="1">
        <v>7.47</v>
      </c>
      <c r="CS69" s="1">
        <v>8.59</v>
      </c>
      <c r="CT69" s="1">
        <v>9.41</v>
      </c>
      <c r="CU69" s="1">
        <v>12.08</v>
      </c>
      <c r="CV69" s="1">
        <v>11.46</v>
      </c>
      <c r="CW69" s="1">
        <v>12.53</v>
      </c>
      <c r="CX69" s="1">
        <v>12.23</v>
      </c>
      <c r="CY69" s="1">
        <v>10.46</v>
      </c>
      <c r="CZ69" s="1">
        <v>6.86</v>
      </c>
      <c r="DA69" s="1">
        <v>6.76</v>
      </c>
      <c r="DB69" s="1">
        <v>6.21</v>
      </c>
      <c r="DC69" s="1">
        <v>7.63</v>
      </c>
      <c r="DD69" s="1">
        <v>8.69</v>
      </c>
      <c r="DE69" s="1">
        <v>8.35</v>
      </c>
      <c r="DF69" s="1">
        <v>10.16</v>
      </c>
      <c r="DG69" s="1">
        <v>11.07</v>
      </c>
      <c r="DH69" s="1">
        <v>12.25</v>
      </c>
      <c r="DI69" s="1">
        <v>12.57</v>
      </c>
      <c r="DJ69" s="1">
        <v>10.3</v>
      </c>
      <c r="DK69" s="1">
        <v>9.7100000000000009</v>
      </c>
      <c r="DL69" s="1">
        <v>6.12</v>
      </c>
      <c r="DM69" s="1">
        <v>1.9</v>
      </c>
      <c r="DN69" s="1">
        <v>2.1800000000000002</v>
      </c>
      <c r="DO69" s="1">
        <v>2.72</v>
      </c>
      <c r="DP69" s="1">
        <v>3.42</v>
      </c>
      <c r="DQ69" s="1">
        <v>4.33</v>
      </c>
      <c r="DR69" s="1">
        <v>5.3</v>
      </c>
      <c r="DS69" s="1">
        <v>6.25</v>
      </c>
      <c r="DT69" s="1">
        <v>7.08</v>
      </c>
      <c r="DU69" s="1">
        <v>7.37</v>
      </c>
      <c r="DV69" s="1">
        <v>7.63</v>
      </c>
      <c r="DW69" s="1">
        <v>8.01</v>
      </c>
      <c r="DX69" s="1">
        <v>5.39</v>
      </c>
      <c r="DY69" s="1">
        <v>4.5</v>
      </c>
      <c r="DZ69" s="1">
        <v>4.12</v>
      </c>
      <c r="EA69" s="1">
        <v>4.5</v>
      </c>
      <c r="EB69" s="1">
        <v>5.4</v>
      </c>
      <c r="EC69" s="1">
        <v>6.37</v>
      </c>
      <c r="ED69" s="1">
        <v>6.87</v>
      </c>
      <c r="EE69" s="1">
        <v>7.17</v>
      </c>
      <c r="EF69" s="1">
        <v>8.26</v>
      </c>
      <c r="EG69" s="1">
        <v>8.09</v>
      </c>
      <c r="EH69" s="1">
        <v>7.27</v>
      </c>
      <c r="EI69" s="1">
        <v>5.63</v>
      </c>
      <c r="EJ69" s="1">
        <v>5.28</v>
      </c>
      <c r="EK69" s="1">
        <v>3.04</v>
      </c>
      <c r="EL69" s="1">
        <v>3.31</v>
      </c>
      <c r="EM69" s="1">
        <v>3.98</v>
      </c>
      <c r="EN69" s="1">
        <v>4.71</v>
      </c>
      <c r="EO69" s="1">
        <v>5.69</v>
      </c>
      <c r="EP69" s="1">
        <v>5.93</v>
      </c>
      <c r="EQ69" s="1">
        <v>5.15</v>
      </c>
      <c r="ER69" s="1">
        <v>6.08</v>
      </c>
      <c r="ES69" s="1">
        <v>6.64</v>
      </c>
      <c r="ET69" s="1">
        <v>6.55</v>
      </c>
      <c r="EU69" s="1">
        <v>5.77</v>
      </c>
      <c r="EV69" s="1">
        <v>1.22</v>
      </c>
      <c r="EW69" s="1">
        <v>0.52</v>
      </c>
      <c r="EX69" s="1">
        <v>2.3199999999999998</v>
      </c>
      <c r="EY69" s="1">
        <v>2.78</v>
      </c>
      <c r="EZ69" s="1">
        <v>3.62</v>
      </c>
      <c r="FA69" s="1">
        <v>4.4000000000000004</v>
      </c>
      <c r="FB69" s="1">
        <v>5.2</v>
      </c>
      <c r="FC69" s="1">
        <v>6.03</v>
      </c>
      <c r="FD69" s="1">
        <v>6.98</v>
      </c>
      <c r="FE69" s="1">
        <v>7.63</v>
      </c>
      <c r="FF69" s="1">
        <v>7.79</v>
      </c>
      <c r="FG69" s="1">
        <v>8.0500000000000007</v>
      </c>
      <c r="FH69" s="1">
        <v>7.04</v>
      </c>
      <c r="FI69" s="1">
        <v>7.21</v>
      </c>
      <c r="FJ69" s="1">
        <v>6.75</v>
      </c>
      <c r="FK69" s="1">
        <v>7.23</v>
      </c>
      <c r="FL69" s="1">
        <v>7.45</v>
      </c>
      <c r="FM69" s="1">
        <v>7.68</v>
      </c>
      <c r="FN69" s="1">
        <v>8.09</v>
      </c>
      <c r="FO69" s="1">
        <v>7.45</v>
      </c>
      <c r="FP69" s="1">
        <v>8.85</v>
      </c>
      <c r="FQ69" s="1">
        <v>5.15</v>
      </c>
      <c r="FR69" s="1">
        <v>5.61</v>
      </c>
      <c r="FS69" s="1">
        <v>2.5499999999999998</v>
      </c>
      <c r="FT69" s="1">
        <v>1.75</v>
      </c>
      <c r="FU69" s="1">
        <v>0.8</v>
      </c>
      <c r="FV69" s="1">
        <v>1.7</v>
      </c>
      <c r="FW69" s="1">
        <v>1.75</v>
      </c>
      <c r="FX69" s="1">
        <v>1.85</v>
      </c>
      <c r="FY69" s="1">
        <v>1.82</v>
      </c>
      <c r="FZ69" s="1">
        <v>3.22</v>
      </c>
      <c r="GA69" s="1">
        <v>3.75</v>
      </c>
      <c r="GB69" s="1">
        <v>4.33</v>
      </c>
      <c r="GC69" s="1">
        <v>4.75</v>
      </c>
      <c r="GD69" s="1">
        <v>5.65</v>
      </c>
      <c r="GE69" s="1">
        <v>5.23</v>
      </c>
      <c r="GF69" s="1">
        <v>4.8099999999999996</v>
      </c>
      <c r="GG69" s="1">
        <v>3.43</v>
      </c>
      <c r="GH69" s="1">
        <v>4.92</v>
      </c>
      <c r="GI69" s="1">
        <v>5.85</v>
      </c>
      <c r="GJ69" s="1">
        <v>6.7</v>
      </c>
      <c r="GK69" s="1">
        <v>6.72</v>
      </c>
      <c r="GL69" s="1">
        <v>6.76</v>
      </c>
      <c r="GM69" s="1">
        <v>7.93</v>
      </c>
      <c r="GN69" s="1">
        <v>8.57</v>
      </c>
      <c r="GO69" s="1">
        <v>7.75</v>
      </c>
      <c r="GP69" s="1">
        <v>7.33</v>
      </c>
      <c r="GQ69" s="1">
        <v>5.01</v>
      </c>
      <c r="GR69" s="1">
        <v>3.2</v>
      </c>
      <c r="GS69" s="1">
        <v>1.77</v>
      </c>
      <c r="GT69" s="1">
        <v>1.51</v>
      </c>
      <c r="GU69" s="1">
        <v>1.2</v>
      </c>
      <c r="GV69" s="1">
        <v>2.65</v>
      </c>
      <c r="GW69" s="1">
        <v>3.42</v>
      </c>
      <c r="GX69" s="1">
        <v>3.98</v>
      </c>
      <c r="GY69" s="1">
        <v>5.07</v>
      </c>
      <c r="GZ69" s="1">
        <v>6.07</v>
      </c>
      <c r="HA69" s="1">
        <v>7.15</v>
      </c>
      <c r="HB69" s="1">
        <v>7.46</v>
      </c>
      <c r="HC69" s="1">
        <v>4.07</v>
      </c>
      <c r="HD69" s="1">
        <v>3.18</v>
      </c>
      <c r="HE69" s="1">
        <v>3.36</v>
      </c>
      <c r="HF69" s="1">
        <v>2.57</v>
      </c>
      <c r="HG69" s="1">
        <v>2.58</v>
      </c>
      <c r="HH69" s="1">
        <v>3.49</v>
      </c>
      <c r="HI69" s="1">
        <v>4.12</v>
      </c>
      <c r="HJ69" s="1">
        <v>4.83</v>
      </c>
      <c r="HK69" s="1">
        <v>7.6</v>
      </c>
      <c r="HL69" s="1">
        <v>6.45</v>
      </c>
      <c r="HM69" s="1">
        <v>6.8</v>
      </c>
      <c r="HN69" s="1">
        <v>7.64</v>
      </c>
      <c r="HO69" s="1">
        <v>7.75</v>
      </c>
      <c r="HP69" s="1">
        <v>5.95</v>
      </c>
      <c r="HQ69" s="1">
        <v>3.53</v>
      </c>
      <c r="HR69" s="1">
        <v>3.93</v>
      </c>
      <c r="HS69" s="1">
        <v>4</v>
      </c>
      <c r="HT69" s="1">
        <v>4.5999999999999996</v>
      </c>
      <c r="HU69" s="1">
        <v>5.38</v>
      </c>
      <c r="HV69" s="1">
        <v>5.62</v>
      </c>
      <c r="HW69" s="1">
        <v>5.95</v>
      </c>
      <c r="HX69" s="1">
        <v>7.72</v>
      </c>
      <c r="HY69" s="1">
        <v>8.3000000000000007</v>
      </c>
      <c r="HZ69" s="1">
        <v>4.8899999999999997</v>
      </c>
      <c r="IA69" s="1">
        <v>6.25</v>
      </c>
      <c r="IB69" s="1">
        <v>5.95</v>
      </c>
      <c r="IC69" s="1">
        <v>4.0599999999999996</v>
      </c>
      <c r="ID69" s="1">
        <v>4.7</v>
      </c>
      <c r="IE69" s="1">
        <v>6.28</v>
      </c>
      <c r="IF69" s="1">
        <v>7.47</v>
      </c>
      <c r="IG69" s="1">
        <v>6.82</v>
      </c>
      <c r="IH69" s="1">
        <v>9.6999999999999993</v>
      </c>
      <c r="II69" s="1">
        <v>10.91</v>
      </c>
      <c r="IJ69" s="1">
        <v>12.51</v>
      </c>
      <c r="IK69" s="1">
        <v>12.9</v>
      </c>
      <c r="IL69" s="1">
        <v>9.9</v>
      </c>
      <c r="IM69" s="1">
        <v>6.89</v>
      </c>
      <c r="IN69" s="1">
        <v>7.95</v>
      </c>
      <c r="IO69" s="1">
        <v>5.41</v>
      </c>
      <c r="IP69" s="1">
        <v>4.21</v>
      </c>
      <c r="IQ69" s="1">
        <v>5.01</v>
      </c>
      <c r="IR69" s="1">
        <v>6.07</v>
      </c>
      <c r="IS69" s="1">
        <v>6.82</v>
      </c>
      <c r="IT69" s="1">
        <v>7.49</v>
      </c>
      <c r="IU69" s="1">
        <v>8.98</v>
      </c>
      <c r="IV69" s="1">
        <v>11.1</v>
      </c>
      <c r="IW69" s="1">
        <v>11.91</v>
      </c>
      <c r="IX69" s="1">
        <v>10.67</v>
      </c>
      <c r="IY69" s="1">
        <v>5.04</v>
      </c>
      <c r="IZ69" s="1">
        <v>4.1900000000000004</v>
      </c>
      <c r="JA69" s="1">
        <v>3.4</v>
      </c>
      <c r="JB69" s="1">
        <v>2.5099999999999998</v>
      </c>
      <c r="JC69" s="1">
        <v>3.99</v>
      </c>
      <c r="JD69" s="1">
        <v>5.05</v>
      </c>
      <c r="JE69" s="1">
        <v>5.96</v>
      </c>
      <c r="JF69" s="1">
        <v>6.69</v>
      </c>
      <c r="JG69" s="1">
        <v>8</v>
      </c>
      <c r="JH69" s="1">
        <v>9.07</v>
      </c>
      <c r="JI69" s="1">
        <v>10.58</v>
      </c>
      <c r="JJ69" s="1">
        <v>9.4700000000000006</v>
      </c>
      <c r="JK69" s="1">
        <v>7.07</v>
      </c>
      <c r="JL69" s="1">
        <v>2.15</v>
      </c>
      <c r="JM69" s="1">
        <v>3.79</v>
      </c>
      <c r="JN69" s="1">
        <v>4.79</v>
      </c>
      <c r="JO69" s="1">
        <v>6.11</v>
      </c>
      <c r="JP69" s="1">
        <v>5.97</v>
      </c>
      <c r="JQ69" s="1">
        <v>5.83</v>
      </c>
      <c r="JR69" s="1">
        <v>6.23</v>
      </c>
      <c r="JS69" s="1">
        <v>6.98</v>
      </c>
      <c r="JT69" s="1">
        <v>7.95</v>
      </c>
      <c r="JU69" s="1">
        <v>9.07</v>
      </c>
      <c r="JV69" s="1">
        <v>10.029999999999999</v>
      </c>
      <c r="JW69" s="1">
        <v>10.56</v>
      </c>
      <c r="JX69" s="1">
        <v>8.16</v>
      </c>
      <c r="JY69" s="1">
        <v>5.28</v>
      </c>
      <c r="JZ69" s="1">
        <v>4.07</v>
      </c>
      <c r="KA69" s="1">
        <v>4.3</v>
      </c>
      <c r="KB69" s="1">
        <v>5.04</v>
      </c>
      <c r="KC69" s="1">
        <v>5.61</v>
      </c>
      <c r="KD69" s="1">
        <v>6.51</v>
      </c>
      <c r="KE69" s="1"/>
      <c r="KF69" s="1" t="s">
        <v>214</v>
      </c>
      <c r="KG69" s="1">
        <v>9.42</v>
      </c>
      <c r="KH69" s="1">
        <v>8.42</v>
      </c>
      <c r="KI69" s="1">
        <v>5.5</v>
      </c>
      <c r="KJ69" s="1">
        <v>3.56</v>
      </c>
      <c r="KK69" s="1">
        <v>2.2999999999999998</v>
      </c>
      <c r="KL69" s="1">
        <v>1.29</v>
      </c>
      <c r="KM69" s="1">
        <v>2.57</v>
      </c>
      <c r="KN69" s="1">
        <v>2.87</v>
      </c>
      <c r="KO69" s="1">
        <v>2.62</v>
      </c>
      <c r="KP69" s="1">
        <v>2.91</v>
      </c>
      <c r="KQ69" s="1">
        <v>5.67</v>
      </c>
      <c r="KR69" s="1">
        <v>6.17</v>
      </c>
      <c r="KS69" s="1">
        <v>7.41</v>
      </c>
      <c r="KT69" s="1">
        <v>7.12</v>
      </c>
      <c r="KU69" s="1">
        <v>5.23</v>
      </c>
      <c r="KV69" s="1">
        <v>1.72</v>
      </c>
      <c r="KW69" s="1">
        <v>1.4</v>
      </c>
      <c r="KX69" s="1">
        <v>2.0699999999999998</v>
      </c>
      <c r="KY69" s="1">
        <v>2.58</v>
      </c>
      <c r="KZ69" s="1">
        <v>3.37</v>
      </c>
      <c r="LA69" s="1">
        <v>3.44</v>
      </c>
      <c r="LB69" s="1">
        <v>4.37</v>
      </c>
      <c r="LC69" s="1">
        <v>4.71</v>
      </c>
      <c r="LD69" s="1">
        <v>5.29</v>
      </c>
      <c r="LE69" s="1">
        <v>6.55</v>
      </c>
      <c r="LF69" s="1">
        <v>6.77</v>
      </c>
      <c r="LG69" s="1">
        <v>3.09</v>
      </c>
      <c r="LH69" s="1">
        <v>1.2199999999999998</v>
      </c>
      <c r="LI69" s="1">
        <v>2.0500000000000003</v>
      </c>
      <c r="LJ69" s="1">
        <v>1.87</v>
      </c>
      <c r="LK69" s="1">
        <v>2.6</v>
      </c>
      <c r="LL69" s="1">
        <v>3.5900000000000003</v>
      </c>
      <c r="LM69" s="1">
        <v>4.59</v>
      </c>
      <c r="LN69" s="1">
        <v>5.9700000000000006</v>
      </c>
      <c r="LO69" s="1">
        <v>6.6899999999999995</v>
      </c>
      <c r="LP69" s="1">
        <v>7.15</v>
      </c>
      <c r="LQ69" s="1">
        <v>7.5399999999999991</v>
      </c>
      <c r="LR69" s="1">
        <v>8.75</v>
      </c>
      <c r="LS69" s="1">
        <v>2.12</v>
      </c>
      <c r="LT69" s="1">
        <v>2.98</v>
      </c>
      <c r="LU69" s="1">
        <v>3.5399999999999996</v>
      </c>
      <c r="LV69" s="1">
        <v>4.2699999999999996</v>
      </c>
      <c r="LW69" s="1">
        <v>5.6099999999999994</v>
      </c>
      <c r="LX69" s="1">
        <v>5.2199999999999989</v>
      </c>
      <c r="LY69" s="1">
        <v>6.4399999999999995</v>
      </c>
      <c r="LZ69" s="1">
        <v>7.7099999999999991</v>
      </c>
      <c r="MA69" s="1">
        <v>9.5499999999999989</v>
      </c>
      <c r="MB69" s="1">
        <v>11.61</v>
      </c>
      <c r="MC69" s="1">
        <v>12.18</v>
      </c>
      <c r="MD69" s="1">
        <v>12.11</v>
      </c>
      <c r="ME69" s="1">
        <v>8.52</v>
      </c>
      <c r="MF69" s="1">
        <v>4.84</v>
      </c>
      <c r="MG69" s="1">
        <v>2.1900000000000004</v>
      </c>
      <c r="MH69" s="1">
        <v>2.82</v>
      </c>
      <c r="MI69" s="1">
        <v>4.1199999999999992</v>
      </c>
      <c r="MJ69" s="1">
        <v>5.07</v>
      </c>
      <c r="MK69" s="1">
        <v>7.52</v>
      </c>
      <c r="ML69" s="1">
        <v>10.119999999999999</v>
      </c>
      <c r="MM69" s="1">
        <v>11.42</v>
      </c>
      <c r="MN69" s="1">
        <v>12.42</v>
      </c>
      <c r="MO69" s="1">
        <v>10.57</v>
      </c>
      <c r="MP69" s="1">
        <v>9.82</v>
      </c>
      <c r="MQ69" s="1">
        <v>7.1199999999999992</v>
      </c>
      <c r="MR69" s="1">
        <v>3.32</v>
      </c>
      <c r="MS69" s="1">
        <v>1.62</v>
      </c>
      <c r="MT69">
        <v>2.2200000000000002</v>
      </c>
      <c r="MU69">
        <v>2.68</v>
      </c>
    </row>
    <row r="70" spans="1:359" ht="15.75" x14ac:dyDescent="0.25">
      <c r="A70" s="8" t="s">
        <v>0</v>
      </c>
      <c r="B70" s="39">
        <v>20486</v>
      </c>
      <c r="C70" s="39" t="s">
        <v>116</v>
      </c>
      <c r="D70" s="39" t="s">
        <v>120</v>
      </c>
      <c r="E70" s="39" t="s">
        <v>120</v>
      </c>
      <c r="F70" s="39" t="s">
        <v>28</v>
      </c>
      <c r="G70" s="39" t="s">
        <v>209</v>
      </c>
      <c r="H70" s="41">
        <v>33.520000000000003</v>
      </c>
      <c r="I70" s="39" t="s">
        <v>119</v>
      </c>
      <c r="J70" s="40">
        <v>44.432425000000002</v>
      </c>
      <c r="K70" s="39">
        <v>16.691051699999999</v>
      </c>
      <c r="L70" s="39">
        <v>80.201040399999997</v>
      </c>
      <c r="M70" s="1">
        <v>4.4400000000000004</v>
      </c>
      <c r="N70" s="1">
        <v>4.49</v>
      </c>
      <c r="O70" s="1">
        <v>4.5</v>
      </c>
      <c r="P70" s="1">
        <v>4.6900000000000004</v>
      </c>
      <c r="Q70" s="1">
        <v>5.88</v>
      </c>
      <c r="R70" s="1">
        <v>3.6</v>
      </c>
      <c r="S70" s="1">
        <v>3.58</v>
      </c>
      <c r="T70" s="1">
        <v>3.6</v>
      </c>
      <c r="U70" s="1">
        <v>3.67</v>
      </c>
      <c r="V70" s="1">
        <v>4</v>
      </c>
      <c r="W70" s="1">
        <v>4.3099999999999996</v>
      </c>
      <c r="X70" s="1">
        <v>5.87</v>
      </c>
      <c r="Y70" s="1">
        <v>6.62</v>
      </c>
      <c r="Z70" s="1">
        <v>6.73</v>
      </c>
      <c r="AA70" s="1">
        <v>6.89</v>
      </c>
      <c r="AB70" s="1">
        <v>7.31</v>
      </c>
      <c r="AC70" s="1">
        <v>7.75</v>
      </c>
      <c r="AD70" s="1">
        <v>7</v>
      </c>
      <c r="AE70" s="1">
        <v>6.92</v>
      </c>
      <c r="AF70" s="1">
        <v>4.59</v>
      </c>
      <c r="AG70" s="1">
        <v>4.16</v>
      </c>
      <c r="AH70" s="1">
        <v>2.81</v>
      </c>
      <c r="AI70" s="1">
        <v>1.2</v>
      </c>
      <c r="AJ70" s="1">
        <v>1.83</v>
      </c>
      <c r="AK70" s="1">
        <v>2.2599999999999998</v>
      </c>
      <c r="AL70" s="1">
        <v>3.17</v>
      </c>
      <c r="AM70" s="1">
        <v>3.69</v>
      </c>
      <c r="AN70" s="1">
        <v>4</v>
      </c>
      <c r="AO70" s="1">
        <v>4.43</v>
      </c>
      <c r="AP70" s="1">
        <v>4.08</v>
      </c>
      <c r="AQ70" s="1">
        <v>4.1900000000000004</v>
      </c>
      <c r="AR70" s="1">
        <v>3.02</v>
      </c>
      <c r="AS70" s="1">
        <v>1.8</v>
      </c>
      <c r="AT70" s="1">
        <v>1.85</v>
      </c>
      <c r="AU70" s="1">
        <v>2.02</v>
      </c>
      <c r="AV70" s="1">
        <v>2.75</v>
      </c>
      <c r="AW70" s="1">
        <v>2.82</v>
      </c>
      <c r="AX70" s="1">
        <v>3.29</v>
      </c>
      <c r="AY70" s="1">
        <v>3.5</v>
      </c>
      <c r="AZ70" s="1">
        <v>3.81</v>
      </c>
      <c r="BA70" s="1">
        <v>4</v>
      </c>
      <c r="BB70" s="1">
        <v>3.35</v>
      </c>
      <c r="BC70" s="1">
        <v>1.92</v>
      </c>
      <c r="BD70" s="1">
        <v>0.52</v>
      </c>
      <c r="BE70" s="1">
        <v>1.33</v>
      </c>
      <c r="BF70" s="1">
        <v>1.98</v>
      </c>
      <c r="BG70" s="1">
        <v>2.5099999999999998</v>
      </c>
      <c r="BH70" s="1">
        <v>2.81</v>
      </c>
      <c r="BI70" s="1">
        <v>3.15</v>
      </c>
      <c r="BJ70" s="1">
        <v>2.86</v>
      </c>
      <c r="BK70" s="1">
        <v>3.22</v>
      </c>
      <c r="BL70" s="1">
        <v>3.62</v>
      </c>
      <c r="BM70" s="1">
        <v>4.17</v>
      </c>
      <c r="BN70" s="1">
        <v>4.17</v>
      </c>
      <c r="BO70" s="1">
        <v>4.46</v>
      </c>
      <c r="BP70" s="1">
        <v>3.31</v>
      </c>
      <c r="BQ70" s="1">
        <v>3.32</v>
      </c>
      <c r="BR70" s="1">
        <v>2.37</v>
      </c>
      <c r="BS70" s="1">
        <v>2.84</v>
      </c>
      <c r="BT70" s="1">
        <v>3.29</v>
      </c>
      <c r="BU70" s="1">
        <v>3.54</v>
      </c>
      <c r="BV70" s="1">
        <v>3.82</v>
      </c>
      <c r="BW70" s="1">
        <v>3.67</v>
      </c>
      <c r="BX70" s="1">
        <v>4.47</v>
      </c>
      <c r="BY70" s="1">
        <v>5.07</v>
      </c>
      <c r="BZ70" s="1">
        <v>5.31</v>
      </c>
      <c r="CA70" s="1">
        <v>5.78</v>
      </c>
      <c r="CB70" s="1">
        <v>4.3099999999999996</v>
      </c>
      <c r="CC70" s="1">
        <v>4.37</v>
      </c>
      <c r="CD70" s="1">
        <v>4.76</v>
      </c>
      <c r="CE70" s="1">
        <v>5.25</v>
      </c>
      <c r="CF70" s="1">
        <v>5.86</v>
      </c>
      <c r="CG70" s="1">
        <v>6.39</v>
      </c>
      <c r="CH70" s="1">
        <v>6.96</v>
      </c>
      <c r="CI70" s="1">
        <v>6.84</v>
      </c>
      <c r="CJ70" s="1">
        <v>7.35</v>
      </c>
      <c r="CK70" s="1">
        <v>8.0399999999999991</v>
      </c>
      <c r="CL70" s="1">
        <v>7.88</v>
      </c>
      <c r="CM70" s="1">
        <v>6.63</v>
      </c>
      <c r="CN70" s="1">
        <v>5.14</v>
      </c>
      <c r="CO70" s="1">
        <v>4.8</v>
      </c>
      <c r="CP70" s="1">
        <v>3.02</v>
      </c>
      <c r="CQ70" s="1">
        <v>3.31</v>
      </c>
      <c r="CR70" s="1">
        <v>3.47</v>
      </c>
      <c r="CS70" s="1">
        <v>3.67</v>
      </c>
      <c r="CT70" s="1">
        <v>3.87</v>
      </c>
      <c r="CU70" s="1">
        <v>4.17</v>
      </c>
      <c r="CV70" s="1">
        <v>4.9400000000000004</v>
      </c>
      <c r="CW70" s="1">
        <v>5.5</v>
      </c>
      <c r="CX70" s="1">
        <v>6.05</v>
      </c>
      <c r="CY70" s="1">
        <v>5.84</v>
      </c>
      <c r="CZ70" s="1">
        <v>4.42</v>
      </c>
      <c r="DA70" s="1">
        <v>4.82</v>
      </c>
      <c r="DB70" s="1">
        <v>3.78</v>
      </c>
      <c r="DC70" s="1">
        <v>4.5999999999999996</v>
      </c>
      <c r="DD70" s="1">
        <v>4.9800000000000004</v>
      </c>
      <c r="DE70" s="1">
        <v>5.26</v>
      </c>
      <c r="DF70" s="1">
        <v>5.71</v>
      </c>
      <c r="DG70" s="1">
        <v>5.79</v>
      </c>
      <c r="DH70" s="1">
        <v>6.85</v>
      </c>
      <c r="DI70" s="1">
        <v>6.96</v>
      </c>
      <c r="DJ70" s="1">
        <v>6</v>
      </c>
      <c r="DK70" s="1">
        <v>5.07</v>
      </c>
      <c r="DL70" s="1">
        <v>4.8</v>
      </c>
      <c r="DM70" s="1">
        <v>1.94</v>
      </c>
      <c r="DN70" s="1">
        <v>1.42</v>
      </c>
      <c r="DO70" s="1">
        <v>1.62</v>
      </c>
      <c r="DP70" s="1">
        <v>1.97</v>
      </c>
      <c r="DQ70" s="1">
        <v>2.2599999999999998</v>
      </c>
      <c r="DR70" s="1">
        <v>2.59</v>
      </c>
      <c r="DS70" s="1">
        <v>2.76</v>
      </c>
      <c r="DT70" s="1">
        <v>2.59</v>
      </c>
      <c r="DU70" s="1">
        <v>2.98</v>
      </c>
      <c r="DV70" s="1">
        <v>3.51</v>
      </c>
      <c r="DW70" s="1">
        <v>3.95</v>
      </c>
      <c r="DX70" s="1">
        <v>3.31</v>
      </c>
      <c r="DY70" s="1">
        <v>3</v>
      </c>
      <c r="DZ70" s="1">
        <v>2.74</v>
      </c>
      <c r="EA70" s="1">
        <v>2.89</v>
      </c>
      <c r="EB70" s="1">
        <v>3.19</v>
      </c>
      <c r="EC70" s="1">
        <v>3.54</v>
      </c>
      <c r="ED70" s="1">
        <v>4.01</v>
      </c>
      <c r="EE70" s="1">
        <v>4.22</v>
      </c>
      <c r="EF70" s="1">
        <v>4.46</v>
      </c>
      <c r="EG70" s="1">
        <v>4.96</v>
      </c>
      <c r="EH70" s="1">
        <v>4.18</v>
      </c>
      <c r="EI70" s="1">
        <v>3.38</v>
      </c>
      <c r="EJ70" s="1">
        <v>3.3</v>
      </c>
      <c r="EK70" s="1">
        <v>2.89</v>
      </c>
      <c r="EL70" s="1">
        <v>1.53</v>
      </c>
      <c r="EM70" s="1">
        <v>1.63</v>
      </c>
      <c r="EN70" s="1">
        <v>2.1</v>
      </c>
      <c r="EO70" s="1">
        <v>2.94</v>
      </c>
      <c r="EP70" s="1">
        <v>3.13</v>
      </c>
      <c r="EQ70" s="1">
        <v>3.31</v>
      </c>
      <c r="ER70" s="1">
        <v>3.81</v>
      </c>
      <c r="ES70" s="1">
        <v>4.32</v>
      </c>
      <c r="ET70" s="1">
        <v>4.95</v>
      </c>
      <c r="EU70" s="1">
        <v>3.4</v>
      </c>
      <c r="EV70" s="1">
        <v>1.55</v>
      </c>
      <c r="EW70" s="1">
        <v>0.89</v>
      </c>
      <c r="EX70" s="1">
        <v>1.67</v>
      </c>
      <c r="EY70" s="1">
        <v>1.89</v>
      </c>
      <c r="EZ70" s="1">
        <v>2.17</v>
      </c>
      <c r="FA70" s="1">
        <v>2.42</v>
      </c>
      <c r="FB70" s="1">
        <v>2.7</v>
      </c>
      <c r="FC70" s="1">
        <v>3.03</v>
      </c>
      <c r="FD70" s="1">
        <v>3.48</v>
      </c>
      <c r="FE70" s="1">
        <v>3.99</v>
      </c>
      <c r="FF70" s="1">
        <v>4.7</v>
      </c>
      <c r="FG70" s="1">
        <v>5.22</v>
      </c>
      <c r="FH70" s="1">
        <v>3.4</v>
      </c>
      <c r="FI70" s="1">
        <v>3.46</v>
      </c>
      <c r="FJ70" s="1">
        <v>3.33</v>
      </c>
      <c r="FK70" s="1">
        <v>3.63</v>
      </c>
      <c r="FL70" s="1">
        <v>3.8</v>
      </c>
      <c r="FM70" s="1">
        <v>4.1900000000000004</v>
      </c>
      <c r="FN70" s="1">
        <v>4.51</v>
      </c>
      <c r="FO70" s="1">
        <v>5.01</v>
      </c>
      <c r="FP70" s="1">
        <v>5.53</v>
      </c>
      <c r="FQ70" s="1">
        <v>6.18</v>
      </c>
      <c r="FR70" s="1">
        <v>4.9800000000000004</v>
      </c>
      <c r="FS70" s="1">
        <v>3.88</v>
      </c>
      <c r="FT70" s="1">
        <v>1.76</v>
      </c>
      <c r="FU70" s="1">
        <v>1.38</v>
      </c>
      <c r="FV70" s="1">
        <v>0.28000000000000003</v>
      </c>
      <c r="FW70" s="1">
        <v>0.57999999999999996</v>
      </c>
      <c r="FX70" s="1">
        <v>0.78</v>
      </c>
      <c r="FY70" s="1">
        <v>1.2</v>
      </c>
      <c r="FZ70" s="1">
        <v>1.44</v>
      </c>
      <c r="GA70" s="1">
        <v>1.48</v>
      </c>
      <c r="GB70" s="1">
        <v>1.48</v>
      </c>
      <c r="GC70" s="1">
        <v>2.0299999999999998</v>
      </c>
      <c r="GD70" s="1">
        <v>2.58</v>
      </c>
      <c r="GE70" s="1">
        <v>2.38</v>
      </c>
      <c r="GF70" s="1">
        <v>1.73</v>
      </c>
      <c r="GG70" s="1">
        <v>1.88</v>
      </c>
      <c r="GH70" s="1">
        <v>2.41</v>
      </c>
      <c r="GI70" s="1">
        <v>2.78</v>
      </c>
      <c r="GJ70" s="1">
        <v>3.18</v>
      </c>
      <c r="GK70" s="1">
        <v>3.58</v>
      </c>
      <c r="GL70" s="1">
        <v>4.03</v>
      </c>
      <c r="GM70" s="1">
        <v>4.57</v>
      </c>
      <c r="GN70" s="1">
        <v>4.88</v>
      </c>
      <c r="GO70" s="1">
        <v>5.38</v>
      </c>
      <c r="GP70" s="1">
        <v>6.18</v>
      </c>
      <c r="GQ70" s="1">
        <v>4.68</v>
      </c>
      <c r="GR70" s="1">
        <v>3.38</v>
      </c>
      <c r="GS70" s="1">
        <v>2.38</v>
      </c>
      <c r="GT70" s="1">
        <v>2.13</v>
      </c>
      <c r="GU70" s="1">
        <v>1.23</v>
      </c>
      <c r="GV70" s="1">
        <v>1.73</v>
      </c>
      <c r="GW70" s="1">
        <v>1.88</v>
      </c>
      <c r="GX70" s="1">
        <v>1.83</v>
      </c>
      <c r="GY70" s="1">
        <v>2.2000000000000002</v>
      </c>
      <c r="GZ70" s="1">
        <v>2.7</v>
      </c>
      <c r="HA70" s="1">
        <v>3.23</v>
      </c>
      <c r="HB70" s="1">
        <v>3.08</v>
      </c>
      <c r="HC70" s="1">
        <v>2.2999999999999998</v>
      </c>
      <c r="HD70" s="1">
        <v>1.05</v>
      </c>
      <c r="HE70" s="1">
        <v>1.08</v>
      </c>
      <c r="HF70" s="1">
        <v>0.67</v>
      </c>
      <c r="HG70" s="1">
        <v>0.83</v>
      </c>
      <c r="HH70" s="1">
        <v>1.08</v>
      </c>
      <c r="HI70" s="1">
        <v>1.28</v>
      </c>
      <c r="HJ70" s="1">
        <v>1.43</v>
      </c>
      <c r="HK70" s="1">
        <v>1.58</v>
      </c>
      <c r="HL70" s="1">
        <v>1.98</v>
      </c>
      <c r="HM70" s="1">
        <v>2.23</v>
      </c>
      <c r="HN70" s="1">
        <v>2.72</v>
      </c>
      <c r="HO70" s="1">
        <v>1.71</v>
      </c>
      <c r="HP70" s="1">
        <v>2.98</v>
      </c>
      <c r="HQ70" s="1">
        <v>1.21</v>
      </c>
      <c r="HR70" s="1">
        <v>1.7</v>
      </c>
      <c r="HS70" s="1">
        <v>1.63</v>
      </c>
      <c r="HT70" s="1">
        <v>1.86</v>
      </c>
      <c r="HU70" s="1">
        <v>2.08</v>
      </c>
      <c r="HV70" s="1">
        <v>2.13</v>
      </c>
      <c r="HW70" s="1">
        <v>2.48</v>
      </c>
      <c r="HX70" s="1">
        <v>2.87</v>
      </c>
      <c r="HY70" s="1">
        <v>2.93</v>
      </c>
      <c r="HZ70" s="1">
        <v>0.9</v>
      </c>
      <c r="IA70" s="1">
        <v>0.99</v>
      </c>
      <c r="IB70" s="1">
        <v>0.86</v>
      </c>
      <c r="IC70" s="1">
        <v>0.43</v>
      </c>
      <c r="ID70" s="1">
        <v>1.23</v>
      </c>
      <c r="IE70" s="1">
        <v>1.63</v>
      </c>
      <c r="IF70" s="1">
        <v>1.76</v>
      </c>
      <c r="IG70" s="1">
        <v>2.13</v>
      </c>
      <c r="IH70" s="1">
        <v>2.37</v>
      </c>
      <c r="II70" s="1">
        <v>2.61</v>
      </c>
      <c r="IJ70" s="1">
        <v>3.13</v>
      </c>
      <c r="IK70" s="1">
        <v>3.52</v>
      </c>
      <c r="IL70" s="1">
        <v>3.44</v>
      </c>
      <c r="IM70" s="1">
        <v>3.05</v>
      </c>
      <c r="IN70" s="1">
        <v>0.89</v>
      </c>
      <c r="IO70" s="1">
        <v>0.39</v>
      </c>
      <c r="IP70" s="1">
        <v>0.79</v>
      </c>
      <c r="IQ70" s="1">
        <v>1.25</v>
      </c>
      <c r="IR70" s="1">
        <v>1.47</v>
      </c>
      <c r="IS70" s="1">
        <v>1.58</v>
      </c>
      <c r="IT70" s="1">
        <v>1.82</v>
      </c>
      <c r="IU70" s="1">
        <v>2.0499999999999998</v>
      </c>
      <c r="IV70" s="1">
        <v>2.4500000000000002</v>
      </c>
      <c r="IW70" s="1">
        <v>2.86</v>
      </c>
      <c r="IX70" s="1">
        <v>2.1</v>
      </c>
      <c r="IY70" s="1">
        <v>0.96</v>
      </c>
      <c r="IZ70" s="1">
        <v>0.72</v>
      </c>
      <c r="JA70" s="1">
        <v>0.3</v>
      </c>
      <c r="JB70" s="1">
        <v>0.87</v>
      </c>
      <c r="JC70" s="1">
        <v>1.39</v>
      </c>
      <c r="JD70" s="1">
        <v>1.62</v>
      </c>
      <c r="JE70" s="1">
        <v>1.75</v>
      </c>
      <c r="JF70" s="1">
        <v>1.82</v>
      </c>
      <c r="JG70" s="1">
        <v>2.06</v>
      </c>
      <c r="JH70" s="1">
        <v>2.21</v>
      </c>
      <c r="JI70" s="1">
        <v>2.58</v>
      </c>
      <c r="JJ70" s="1">
        <v>2.58</v>
      </c>
      <c r="JK70" s="1">
        <v>1.79</v>
      </c>
      <c r="JL70" s="1">
        <v>1.36</v>
      </c>
      <c r="JM70" s="1">
        <v>0.79</v>
      </c>
      <c r="JN70" s="1">
        <v>1.1200000000000001</v>
      </c>
      <c r="JO70" s="1">
        <v>1.43</v>
      </c>
      <c r="JP70" s="1">
        <v>1.32</v>
      </c>
      <c r="JQ70" s="1">
        <v>1.33</v>
      </c>
      <c r="JR70" s="1">
        <v>1.55</v>
      </c>
      <c r="JS70" s="1">
        <v>1.79</v>
      </c>
      <c r="JT70" s="1">
        <v>2.11</v>
      </c>
      <c r="JU70" s="1">
        <v>2.5299999999999998</v>
      </c>
      <c r="JV70" s="1">
        <v>2.52</v>
      </c>
      <c r="JW70" s="1">
        <v>2.12</v>
      </c>
      <c r="JX70" s="1">
        <v>1.57</v>
      </c>
      <c r="JY70" s="1">
        <v>0.48</v>
      </c>
      <c r="JZ70" s="1">
        <v>0.34</v>
      </c>
      <c r="KA70" s="1">
        <v>0.17</v>
      </c>
      <c r="KB70" s="1">
        <v>0.56999999999999995</v>
      </c>
      <c r="KC70" s="1">
        <v>1</v>
      </c>
      <c r="KD70" s="1">
        <v>3.41</v>
      </c>
      <c r="KE70" s="1"/>
      <c r="KF70" s="1"/>
      <c r="KG70" s="1">
        <v>6.62</v>
      </c>
      <c r="KH70" s="1">
        <v>6.58</v>
      </c>
      <c r="KI70" s="1">
        <v>6.54</v>
      </c>
      <c r="KJ70" s="1">
        <v>0.25</v>
      </c>
      <c r="KK70" s="1">
        <v>1.2</v>
      </c>
      <c r="KL70" s="1">
        <v>0.28000000000000003</v>
      </c>
      <c r="KM70" s="1">
        <v>0.75</v>
      </c>
      <c r="KN70" s="1">
        <v>0.86</v>
      </c>
      <c r="KO70" s="1">
        <v>1.05</v>
      </c>
      <c r="KP70" s="1">
        <v>1.1200000000000001</v>
      </c>
      <c r="KQ70" s="1">
        <v>1.4</v>
      </c>
      <c r="KR70" s="1">
        <v>1.94</v>
      </c>
      <c r="KS70" s="1">
        <v>0.97</v>
      </c>
      <c r="KT70" s="1">
        <v>0.92</v>
      </c>
      <c r="KU70" s="1">
        <v>1.49</v>
      </c>
      <c r="KV70" s="1">
        <v>1.05</v>
      </c>
      <c r="KW70" s="1">
        <v>0.8</v>
      </c>
      <c r="KX70" s="1">
        <v>0.67</v>
      </c>
      <c r="KY70" s="1">
        <v>0.51</v>
      </c>
      <c r="KZ70" s="1">
        <v>0.62</v>
      </c>
      <c r="LA70" s="1">
        <v>1.1200000000000001</v>
      </c>
      <c r="LB70" s="1">
        <v>1.94</v>
      </c>
      <c r="LC70" s="1">
        <v>1.35</v>
      </c>
      <c r="LD70" s="1">
        <v>1.4</v>
      </c>
      <c r="LE70" s="1">
        <v>1.68</v>
      </c>
      <c r="LF70" s="1">
        <v>1.91</v>
      </c>
      <c r="LG70" s="1">
        <v>0.9800000000000002</v>
      </c>
      <c r="LH70" s="1">
        <v>0.9600000000000003</v>
      </c>
      <c r="LI70" s="1">
        <v>0.82000000000000006</v>
      </c>
      <c r="LJ70" s="1">
        <v>0.42000000000000015</v>
      </c>
      <c r="LK70" s="1">
        <v>0.47000000000000008</v>
      </c>
      <c r="LL70" s="1">
        <v>0.69000000000000017</v>
      </c>
      <c r="LM70" s="1">
        <v>0.97</v>
      </c>
      <c r="LN70" s="1">
        <v>1.0900000000000001</v>
      </c>
      <c r="LO70" s="1">
        <v>1.1299999999999999</v>
      </c>
      <c r="LP70" s="1">
        <v>1.4200000000000002</v>
      </c>
      <c r="LQ70" s="1">
        <v>1.2900000000000003</v>
      </c>
      <c r="LR70" s="1">
        <v>2.69</v>
      </c>
      <c r="LS70" s="1">
        <v>1.0400000000000003</v>
      </c>
      <c r="LT70" s="1">
        <v>0.9800000000000002</v>
      </c>
      <c r="LU70" s="1">
        <v>0.42000000000000015</v>
      </c>
      <c r="LV70" s="1">
        <v>0.92000000000000015</v>
      </c>
      <c r="LW70" s="1">
        <v>1.34</v>
      </c>
      <c r="LX70" s="1">
        <v>0.65999999999999992</v>
      </c>
      <c r="LY70" s="1">
        <v>0.92000000000000015</v>
      </c>
      <c r="LZ70" s="1">
        <v>1.1199999999999999</v>
      </c>
      <c r="MA70" s="1">
        <v>1.34</v>
      </c>
      <c r="MB70" s="1">
        <v>2.1399999999999997</v>
      </c>
      <c r="MC70" s="1">
        <v>1.8800000000000001</v>
      </c>
      <c r="MD70" s="1">
        <v>1.6600000000000004</v>
      </c>
      <c r="ME70" s="1">
        <v>0.1</v>
      </c>
      <c r="MF70" s="1">
        <v>0.52</v>
      </c>
      <c r="MG70" s="1">
        <v>0.51999999999999991</v>
      </c>
      <c r="MH70" s="1">
        <v>0</v>
      </c>
      <c r="MI70" s="1">
        <v>0.62000000000000011</v>
      </c>
      <c r="MJ70" s="1">
        <v>0.97</v>
      </c>
      <c r="MK70" s="1">
        <v>1.0200000000000002</v>
      </c>
      <c r="ML70" s="1">
        <v>1.22</v>
      </c>
      <c r="MM70" s="1">
        <v>1.22</v>
      </c>
      <c r="MN70" s="1">
        <v>1.44</v>
      </c>
      <c r="MO70" s="1">
        <v>3.0200000000000005</v>
      </c>
      <c r="MP70" s="1">
        <v>1.5200000000000005</v>
      </c>
      <c r="MQ70" s="1">
        <v>1.2</v>
      </c>
      <c r="MR70" s="1">
        <v>0.42000000000000015</v>
      </c>
      <c r="MS70" s="1">
        <v>0.10000000000000009</v>
      </c>
      <c r="MT70">
        <v>6.26</v>
      </c>
      <c r="MU70">
        <v>6.12</v>
      </c>
    </row>
    <row r="71" spans="1:359" ht="15.75" x14ac:dyDescent="0.25">
      <c r="A71" s="8" t="s">
        <v>0</v>
      </c>
      <c r="B71" s="39">
        <v>20492</v>
      </c>
      <c r="C71" s="39" t="s">
        <v>116</v>
      </c>
      <c r="D71" s="39" t="s">
        <v>121</v>
      </c>
      <c r="E71" s="39" t="s">
        <v>122</v>
      </c>
      <c r="F71" s="39" t="s">
        <v>123</v>
      </c>
      <c r="G71" s="39" t="s">
        <v>209</v>
      </c>
      <c r="H71" s="41">
        <v>36.299999999999997</v>
      </c>
      <c r="I71" s="39" t="s">
        <v>124</v>
      </c>
      <c r="J71" s="40">
        <v>72.453900000000004</v>
      </c>
      <c r="K71" s="39">
        <v>16.750203800000001</v>
      </c>
      <c r="L71" s="39">
        <v>80.522625399999995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>
        <v>3.45</v>
      </c>
      <c r="BR71" s="1">
        <v>2.61</v>
      </c>
      <c r="BS71" s="1">
        <v>3.55</v>
      </c>
      <c r="BT71" s="1">
        <v>3.69</v>
      </c>
      <c r="BU71" s="1">
        <v>4.03</v>
      </c>
      <c r="BV71" s="1">
        <v>4.4800000000000004</v>
      </c>
      <c r="BW71" s="1">
        <v>3.91</v>
      </c>
      <c r="BX71" s="1">
        <v>5.03</v>
      </c>
      <c r="BY71" s="1">
        <v>5.15</v>
      </c>
      <c r="BZ71" s="1">
        <v>5.05</v>
      </c>
      <c r="CA71" s="1">
        <v>5.28</v>
      </c>
      <c r="CB71" s="1">
        <v>4.6100000000000003</v>
      </c>
      <c r="CC71" s="1">
        <v>4.79</v>
      </c>
      <c r="CD71" s="1">
        <v>5.13</v>
      </c>
      <c r="CE71" s="1">
        <v>5.55</v>
      </c>
      <c r="CF71" s="1">
        <v>5.74</v>
      </c>
      <c r="CG71" s="1">
        <v>5.96</v>
      </c>
      <c r="CH71" s="1">
        <v>6.2</v>
      </c>
      <c r="CI71" s="1">
        <v>6.32</v>
      </c>
      <c r="CJ71" s="1">
        <v>6.62</v>
      </c>
      <c r="CK71" s="1">
        <v>6.82</v>
      </c>
      <c r="CL71" s="1">
        <v>6.78</v>
      </c>
      <c r="CM71" s="1">
        <v>6.56</v>
      </c>
      <c r="CN71" s="1">
        <v>5.86</v>
      </c>
      <c r="CO71" s="1">
        <v>4.57</v>
      </c>
      <c r="CP71" s="1">
        <v>3.66</v>
      </c>
      <c r="CQ71" s="1">
        <v>4.4400000000000004</v>
      </c>
      <c r="CR71" s="1">
        <v>3.83</v>
      </c>
      <c r="CS71" s="1">
        <v>4.1100000000000003</v>
      </c>
      <c r="CT71" s="1">
        <v>4.53</v>
      </c>
      <c r="CU71" s="1">
        <v>4.8499999999999996</v>
      </c>
      <c r="CV71" s="1">
        <v>5.47</v>
      </c>
      <c r="CW71" s="1">
        <v>5.68</v>
      </c>
      <c r="CX71" s="1">
        <v>5.68</v>
      </c>
      <c r="CY71" s="1">
        <v>5.7</v>
      </c>
      <c r="CZ71" s="1">
        <v>4.76</v>
      </c>
      <c r="DA71" s="1">
        <v>4.96</v>
      </c>
      <c r="DB71" s="1">
        <v>3.42</v>
      </c>
      <c r="DC71" s="1">
        <v>4.0999999999999996</v>
      </c>
      <c r="DD71" s="1">
        <v>4.4400000000000004</v>
      </c>
      <c r="DE71" s="1">
        <v>4.8499999999999996</v>
      </c>
      <c r="DF71" s="1">
        <v>5.09</v>
      </c>
      <c r="DG71" s="1">
        <v>4.82</v>
      </c>
      <c r="DH71" s="1">
        <v>6.13</v>
      </c>
      <c r="DI71" s="1">
        <v>5.83</v>
      </c>
      <c r="DJ71" s="1">
        <v>5.5</v>
      </c>
      <c r="DK71" s="1">
        <v>5.0999999999999996</v>
      </c>
      <c r="DL71" s="1">
        <v>4.99</v>
      </c>
      <c r="DM71" s="1">
        <v>2.38</v>
      </c>
      <c r="DN71" s="1">
        <v>2.8</v>
      </c>
      <c r="DO71" s="1">
        <v>2.38</v>
      </c>
      <c r="DP71" s="1">
        <v>2.81</v>
      </c>
      <c r="DQ71" s="1">
        <v>3.44</v>
      </c>
      <c r="DR71" s="1">
        <v>4.0199999999999996</v>
      </c>
      <c r="DS71" s="1">
        <v>4.1399999999999997</v>
      </c>
      <c r="DT71" s="1">
        <v>4.43</v>
      </c>
      <c r="DU71" s="1">
        <v>4.74</v>
      </c>
      <c r="DV71" s="1">
        <v>4.99</v>
      </c>
      <c r="DW71" s="1">
        <v>5.33</v>
      </c>
      <c r="DX71" s="1">
        <v>5.46</v>
      </c>
      <c r="DY71" s="1">
        <v>5.3</v>
      </c>
      <c r="DZ71" s="1">
        <v>5.22</v>
      </c>
      <c r="EA71" s="1">
        <v>5.08</v>
      </c>
      <c r="EB71" s="1">
        <v>5.44</v>
      </c>
      <c r="EC71" s="1">
        <v>5.62</v>
      </c>
      <c r="ED71" s="1">
        <v>5.85</v>
      </c>
      <c r="EE71" s="1">
        <v>5.97</v>
      </c>
      <c r="EF71" s="1">
        <v>6.38</v>
      </c>
      <c r="EG71" s="1">
        <v>6.31</v>
      </c>
      <c r="EH71" s="1">
        <v>6.43</v>
      </c>
      <c r="EI71" s="1">
        <v>6.25</v>
      </c>
      <c r="EJ71" s="1">
        <v>6.41</v>
      </c>
      <c r="EK71" s="1">
        <v>5.98</v>
      </c>
      <c r="EL71" s="1">
        <v>4.58</v>
      </c>
      <c r="EM71" s="1">
        <v>4.8600000000000003</v>
      </c>
      <c r="EN71" s="1">
        <v>4.2300000000000004</v>
      </c>
      <c r="EO71" s="1">
        <v>5.75</v>
      </c>
      <c r="EP71" s="1">
        <v>5.63</v>
      </c>
      <c r="EQ71" s="1">
        <v>6.01</v>
      </c>
      <c r="ER71" s="1">
        <v>5.56</v>
      </c>
      <c r="ES71" s="1">
        <v>5.95</v>
      </c>
      <c r="ET71" s="1">
        <v>6.21</v>
      </c>
      <c r="EU71" s="1">
        <v>6.12</v>
      </c>
      <c r="EV71" s="1">
        <v>2.8</v>
      </c>
      <c r="EW71" s="1">
        <v>2.75</v>
      </c>
      <c r="EX71" s="1">
        <v>3.46</v>
      </c>
      <c r="EY71" s="1">
        <v>3.88</v>
      </c>
      <c r="EZ71" s="1">
        <v>3.72</v>
      </c>
      <c r="FA71" s="1">
        <v>4.0199999999999996</v>
      </c>
      <c r="FB71" s="1">
        <v>4.5999999999999996</v>
      </c>
      <c r="FC71" s="1">
        <v>5.27</v>
      </c>
      <c r="FD71" s="1">
        <v>5.58</v>
      </c>
      <c r="FE71" s="1">
        <v>5.86</v>
      </c>
      <c r="FF71" s="1">
        <v>6.06</v>
      </c>
      <c r="FG71" s="1">
        <v>6.18</v>
      </c>
      <c r="FH71" s="1">
        <v>6.48</v>
      </c>
      <c r="FI71" s="1">
        <v>6.51</v>
      </c>
      <c r="FJ71" s="1">
        <v>5.21</v>
      </c>
      <c r="FK71" s="1">
        <v>5.46</v>
      </c>
      <c r="FL71" s="1">
        <v>5.09</v>
      </c>
      <c r="FM71" s="1">
        <v>5.66</v>
      </c>
      <c r="FN71" s="1">
        <v>5.99</v>
      </c>
      <c r="FO71" s="1">
        <v>6.48</v>
      </c>
      <c r="FP71" s="1">
        <v>6.84</v>
      </c>
      <c r="FQ71" s="1">
        <v>6.56</v>
      </c>
      <c r="FR71" s="1">
        <v>6.46</v>
      </c>
      <c r="FS71" s="1">
        <v>5.6</v>
      </c>
      <c r="FT71" s="1">
        <v>4.84</v>
      </c>
      <c r="FU71" s="1">
        <v>1.96</v>
      </c>
      <c r="FV71" s="1">
        <v>1.93</v>
      </c>
      <c r="FW71" s="1">
        <v>2.09</v>
      </c>
      <c r="FX71" s="1">
        <v>1.88</v>
      </c>
      <c r="FY71" s="1">
        <v>2.36</v>
      </c>
      <c r="FZ71" s="1">
        <v>2.66</v>
      </c>
      <c r="GA71" s="1">
        <v>2.91</v>
      </c>
      <c r="GB71" s="1">
        <v>3.66</v>
      </c>
      <c r="GC71" s="1">
        <v>3.86</v>
      </c>
      <c r="GD71" s="1">
        <v>4</v>
      </c>
      <c r="GE71" s="1">
        <v>3.52</v>
      </c>
      <c r="GF71" s="1">
        <v>3.51</v>
      </c>
      <c r="GG71" s="1">
        <v>3.53</v>
      </c>
      <c r="GH71" s="1">
        <v>4.34</v>
      </c>
      <c r="GI71" s="1">
        <v>5.0599999999999996</v>
      </c>
      <c r="GJ71" s="1">
        <v>5.14</v>
      </c>
      <c r="GK71" s="1">
        <v>4.7</v>
      </c>
      <c r="GL71" s="1">
        <v>5.01</v>
      </c>
      <c r="GM71" s="1">
        <v>5.1100000000000003</v>
      </c>
      <c r="GN71" s="1">
        <v>5.46</v>
      </c>
      <c r="GO71" s="1">
        <v>5.46</v>
      </c>
      <c r="GP71" s="1">
        <v>5.56</v>
      </c>
      <c r="GQ71" s="1">
        <v>4.5599999999999996</v>
      </c>
      <c r="GR71" s="1">
        <v>3.23</v>
      </c>
      <c r="GS71" s="1">
        <v>2.61</v>
      </c>
      <c r="GT71" s="1">
        <v>2.36</v>
      </c>
      <c r="GU71" s="1">
        <v>1.8</v>
      </c>
      <c r="GV71" s="1">
        <v>2.15</v>
      </c>
      <c r="GW71" s="1">
        <v>2.41</v>
      </c>
      <c r="GX71" s="1">
        <v>2.66</v>
      </c>
      <c r="GY71" s="1">
        <v>3.11</v>
      </c>
      <c r="GZ71" s="1">
        <v>3.76</v>
      </c>
      <c r="HA71" s="1">
        <v>4.21</v>
      </c>
      <c r="HB71" s="1">
        <v>4.16</v>
      </c>
      <c r="HC71" s="1">
        <v>3.02</v>
      </c>
      <c r="HD71" s="1">
        <v>2.96</v>
      </c>
      <c r="HE71" s="1">
        <v>2.87</v>
      </c>
      <c r="HF71" s="1">
        <v>1.68</v>
      </c>
      <c r="HG71" s="1">
        <v>2.14</v>
      </c>
      <c r="HH71" s="1">
        <v>2.08</v>
      </c>
      <c r="HI71" s="1">
        <v>2.38</v>
      </c>
      <c r="HJ71" s="1">
        <v>2.66</v>
      </c>
      <c r="HK71" s="1">
        <v>3.1</v>
      </c>
      <c r="HL71" s="1">
        <v>3.58</v>
      </c>
      <c r="HM71" s="1">
        <v>3.78</v>
      </c>
      <c r="HN71" s="1">
        <v>4.22</v>
      </c>
      <c r="HO71" s="1">
        <v>5.2</v>
      </c>
      <c r="HP71" s="1">
        <v>4.8099999999999996</v>
      </c>
      <c r="HQ71" s="1">
        <v>4.79</v>
      </c>
      <c r="HR71" s="1">
        <v>5.12</v>
      </c>
      <c r="HS71" s="1">
        <v>5.0199999999999996</v>
      </c>
      <c r="HT71" s="1">
        <v>5.05</v>
      </c>
      <c r="HU71" s="1">
        <v>5.2</v>
      </c>
      <c r="HV71" s="1">
        <v>5.25</v>
      </c>
      <c r="HW71" s="1">
        <v>5.71</v>
      </c>
      <c r="HX71" s="1">
        <v>5.95</v>
      </c>
      <c r="HY71" s="1">
        <v>6.2</v>
      </c>
      <c r="HZ71" s="1">
        <v>5.73</v>
      </c>
      <c r="IA71" s="1">
        <v>5.19</v>
      </c>
      <c r="IB71" s="1">
        <v>4.68</v>
      </c>
      <c r="IC71" s="1">
        <v>4.4000000000000004</v>
      </c>
      <c r="ID71" s="1">
        <v>4.9400000000000004</v>
      </c>
      <c r="IE71" s="1">
        <v>5.7</v>
      </c>
      <c r="IF71" s="1">
        <v>5.73</v>
      </c>
      <c r="IG71" s="1">
        <v>5.99</v>
      </c>
      <c r="IH71" s="1">
        <v>6.43</v>
      </c>
      <c r="II71" s="1">
        <v>6.71</v>
      </c>
      <c r="IJ71" s="1">
        <v>7.11</v>
      </c>
      <c r="IK71" s="1">
        <v>7.35</v>
      </c>
      <c r="IL71" s="1">
        <v>7.38</v>
      </c>
      <c r="IM71" s="1">
        <v>7.04</v>
      </c>
      <c r="IN71" s="1">
        <v>7.51</v>
      </c>
      <c r="IO71" s="1">
        <v>7.35</v>
      </c>
      <c r="IP71" s="1">
        <v>6.26</v>
      </c>
      <c r="IQ71" s="1">
        <v>6.92</v>
      </c>
      <c r="IR71" s="1">
        <v>7.33</v>
      </c>
      <c r="IS71" s="1">
        <v>7.57</v>
      </c>
      <c r="IT71" s="1">
        <v>7.97</v>
      </c>
      <c r="IU71" s="1">
        <v>8.3000000000000007</v>
      </c>
      <c r="IV71" s="1">
        <v>8.61</v>
      </c>
      <c r="IW71" s="1">
        <v>8.81</v>
      </c>
      <c r="IX71" s="1">
        <v>8.59</v>
      </c>
      <c r="IY71" s="1">
        <v>8.36</v>
      </c>
      <c r="IZ71" s="1">
        <v>7.77</v>
      </c>
      <c r="JA71" s="1">
        <v>6.94</v>
      </c>
      <c r="JB71" s="1">
        <v>6.54</v>
      </c>
      <c r="JC71" s="1">
        <v>7.08</v>
      </c>
      <c r="JD71" s="1">
        <v>7.33</v>
      </c>
      <c r="JE71" s="1">
        <v>7.72</v>
      </c>
      <c r="JF71" s="1">
        <v>8.1199999999999992</v>
      </c>
      <c r="JG71" s="1">
        <v>8.67</v>
      </c>
      <c r="JH71" s="1">
        <v>8.84</v>
      </c>
      <c r="JI71" s="1">
        <v>9.17</v>
      </c>
      <c r="JJ71" s="1">
        <v>9.23</v>
      </c>
      <c r="JK71" s="1">
        <v>8.66</v>
      </c>
      <c r="JL71" s="1">
        <v>7.15</v>
      </c>
      <c r="JM71" s="1">
        <v>7.36</v>
      </c>
      <c r="JN71" s="1">
        <v>7.7</v>
      </c>
      <c r="JO71" s="1">
        <v>8.5299999999999994</v>
      </c>
      <c r="JP71" s="1">
        <v>8.44</v>
      </c>
      <c r="JQ71" s="1">
        <v>8.25</v>
      </c>
      <c r="JR71" s="1">
        <v>7.5</v>
      </c>
      <c r="JS71" s="1">
        <v>8.91</v>
      </c>
      <c r="JT71" s="1">
        <v>9.2899999999999991</v>
      </c>
      <c r="JU71" s="1">
        <v>9.4700000000000006</v>
      </c>
      <c r="JV71" s="1">
        <v>9.91</v>
      </c>
      <c r="JW71" s="1">
        <v>10.02</v>
      </c>
      <c r="JX71" s="1">
        <v>9.7200000000000006</v>
      </c>
      <c r="JY71" s="1">
        <v>9.25</v>
      </c>
      <c r="JZ71" s="1">
        <v>7.69</v>
      </c>
      <c r="KA71" s="1">
        <v>6.32</v>
      </c>
      <c r="KB71" s="1">
        <v>6.73</v>
      </c>
      <c r="KC71" s="1">
        <v>7.63</v>
      </c>
      <c r="KD71" s="1">
        <v>8.3699999999999992</v>
      </c>
      <c r="KE71" s="1"/>
      <c r="KF71" s="1"/>
      <c r="KG71" s="1">
        <v>9.75</v>
      </c>
      <c r="KH71" s="1">
        <v>9.9499999999999993</v>
      </c>
      <c r="KI71" s="1">
        <v>8.58</v>
      </c>
      <c r="KJ71" s="1">
        <v>7.55</v>
      </c>
      <c r="KK71" s="1">
        <v>7.25</v>
      </c>
      <c r="KL71" s="1">
        <v>4.32</v>
      </c>
      <c r="KM71" s="1">
        <v>4.3499999999999996</v>
      </c>
      <c r="KN71" s="1">
        <v>4.2699999999999996</v>
      </c>
      <c r="KO71" s="1">
        <v>4.9400000000000004</v>
      </c>
      <c r="KP71" s="1">
        <v>5.35</v>
      </c>
      <c r="KQ71" s="1">
        <v>6.12</v>
      </c>
      <c r="KR71" s="1">
        <v>7.06</v>
      </c>
      <c r="KS71" s="1">
        <v>7.53</v>
      </c>
      <c r="KT71" s="1">
        <v>7.89</v>
      </c>
      <c r="KU71" s="1">
        <v>7.4</v>
      </c>
      <c r="KV71" s="1">
        <v>6.57</v>
      </c>
      <c r="KW71" s="1">
        <v>6.14</v>
      </c>
      <c r="KX71" s="1">
        <v>3.69</v>
      </c>
      <c r="KY71" s="1">
        <v>3.73</v>
      </c>
      <c r="KZ71" s="1">
        <v>4.62</v>
      </c>
      <c r="LA71" s="1">
        <v>4.71</v>
      </c>
      <c r="LB71" s="1">
        <v>5.33</v>
      </c>
      <c r="LC71" s="1">
        <v>5.91</v>
      </c>
      <c r="LD71" s="1">
        <v>6.59</v>
      </c>
      <c r="LE71" s="1">
        <v>7.2</v>
      </c>
      <c r="LF71" s="1">
        <v>7.58</v>
      </c>
      <c r="LG71" s="1">
        <v>6.34</v>
      </c>
      <c r="LH71" s="1">
        <v>5.99</v>
      </c>
      <c r="LI71" s="1">
        <v>6.0200000000000005</v>
      </c>
      <c r="LJ71" s="1">
        <v>5.05</v>
      </c>
      <c r="LK71" s="1">
        <v>5.33</v>
      </c>
      <c r="LL71" s="1">
        <v>5.65</v>
      </c>
      <c r="LM71" s="1">
        <v>6.17</v>
      </c>
      <c r="LN71" s="1">
        <v>6.75</v>
      </c>
      <c r="LO71" s="1">
        <v>7.22</v>
      </c>
      <c r="LP71" s="1">
        <v>7.75</v>
      </c>
      <c r="LQ71" s="1">
        <v>7.73</v>
      </c>
      <c r="LR71" s="1">
        <v>8.15</v>
      </c>
      <c r="LS71" s="1">
        <v>7.6999999999999993</v>
      </c>
      <c r="LT71" s="1">
        <v>6.93</v>
      </c>
      <c r="LU71" s="1">
        <v>6.58</v>
      </c>
      <c r="LV71" s="1">
        <v>6.84</v>
      </c>
      <c r="LW71" s="1">
        <v>7.65</v>
      </c>
      <c r="LX71" s="1">
        <v>7.21</v>
      </c>
      <c r="LY71" s="1">
        <v>7.51</v>
      </c>
      <c r="LZ71" s="1">
        <v>7.49</v>
      </c>
      <c r="MA71" s="1">
        <v>7.9399999999999995</v>
      </c>
      <c r="MB71" s="1">
        <v>8.6999999999999993</v>
      </c>
      <c r="MC71" s="1">
        <v>8.99</v>
      </c>
      <c r="MD71" s="1">
        <v>9.14</v>
      </c>
      <c r="ME71" s="1">
        <v>7.2</v>
      </c>
      <c r="MF71" s="1">
        <v>8.51</v>
      </c>
      <c r="MG71" s="1">
        <v>3.66</v>
      </c>
      <c r="MH71" s="1">
        <v>3.5</v>
      </c>
      <c r="MI71" s="1">
        <v>3.55</v>
      </c>
      <c r="MJ71" s="1">
        <v>4.05</v>
      </c>
      <c r="MK71" s="1">
        <v>4.6500000000000004</v>
      </c>
      <c r="ML71" s="1">
        <v>5.0999999999999996</v>
      </c>
      <c r="MM71" s="1">
        <v>5.65</v>
      </c>
      <c r="MN71" s="1">
        <v>6.5</v>
      </c>
      <c r="MO71" s="1">
        <v>6.51</v>
      </c>
      <c r="MP71" s="1">
        <v>5.65</v>
      </c>
      <c r="MQ71" s="1">
        <v>5.25</v>
      </c>
      <c r="MR71" s="1">
        <v>4.5</v>
      </c>
      <c r="MS71" s="1">
        <v>3.95</v>
      </c>
      <c r="MT71">
        <v>18.73</v>
      </c>
      <c r="MU71">
        <v>17.66</v>
      </c>
    </row>
    <row r="72" spans="1:359" ht="15.75" x14ac:dyDescent="0.25">
      <c r="A72" s="8" t="s">
        <v>0</v>
      </c>
      <c r="B72" s="39">
        <v>20495</v>
      </c>
      <c r="C72" s="39" t="s">
        <v>116</v>
      </c>
      <c r="D72" s="39" t="s">
        <v>125</v>
      </c>
      <c r="E72" s="39" t="s">
        <v>125</v>
      </c>
      <c r="F72" s="39" t="s">
        <v>126</v>
      </c>
      <c r="G72" s="39" t="s">
        <v>209</v>
      </c>
      <c r="H72" s="41">
        <v>27.6</v>
      </c>
      <c r="I72" s="39" t="s">
        <v>124</v>
      </c>
      <c r="J72" s="40">
        <v>72.058099999999996</v>
      </c>
      <c r="K72" s="39">
        <v>16.994257000000001</v>
      </c>
      <c r="L72" s="39">
        <v>80.520071000000002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>
        <v>2.25</v>
      </c>
      <c r="Z72" s="1">
        <v>3</v>
      </c>
      <c r="AA72" s="1">
        <v>4.1399999999999997</v>
      </c>
      <c r="AB72" s="1">
        <v>6.19</v>
      </c>
      <c r="AC72" s="1">
        <v>9.9700000000000006</v>
      </c>
      <c r="AD72" s="1">
        <v>8.6</v>
      </c>
      <c r="AE72" s="1">
        <v>4.5999999999999996</v>
      </c>
      <c r="AF72" s="1">
        <v>1.63</v>
      </c>
      <c r="AG72" s="1">
        <v>1.47</v>
      </c>
      <c r="AH72" s="1">
        <v>1</v>
      </c>
      <c r="AI72" s="1">
        <v>0.7</v>
      </c>
      <c r="AJ72" s="1">
        <v>1.7</v>
      </c>
      <c r="AK72" s="1">
        <v>2.4500000000000002</v>
      </c>
      <c r="AL72" s="1">
        <v>2.69</v>
      </c>
      <c r="AM72" s="1">
        <v>2.8</v>
      </c>
      <c r="AN72" s="1">
        <v>3</v>
      </c>
      <c r="AO72" s="1">
        <v>3.2</v>
      </c>
      <c r="AP72" s="1">
        <v>3.55</v>
      </c>
      <c r="AQ72" s="1">
        <v>3.9</v>
      </c>
      <c r="AR72" s="1">
        <v>3.07</v>
      </c>
      <c r="AS72" s="1">
        <v>2.08</v>
      </c>
      <c r="AT72" s="1">
        <v>1.61</v>
      </c>
      <c r="AU72" s="1">
        <v>2.2000000000000002</v>
      </c>
      <c r="AV72" s="1">
        <v>2.82</v>
      </c>
      <c r="AW72" s="1">
        <v>3.03</v>
      </c>
      <c r="AX72" s="1">
        <v>4</v>
      </c>
      <c r="AY72" s="1">
        <v>4.5</v>
      </c>
      <c r="AZ72" s="1">
        <v>4.9000000000000004</v>
      </c>
      <c r="BA72" s="1">
        <v>5.41</v>
      </c>
      <c r="BB72" s="1">
        <v>4.3099999999999996</v>
      </c>
      <c r="BC72" s="1">
        <v>2.36</v>
      </c>
      <c r="BD72" s="1">
        <v>0.53</v>
      </c>
      <c r="BE72" s="1">
        <v>1.32</v>
      </c>
      <c r="BF72" s="1">
        <v>1.68</v>
      </c>
      <c r="BG72" s="1">
        <v>2.36</v>
      </c>
      <c r="BH72" s="1">
        <v>2.78</v>
      </c>
      <c r="BI72" s="1">
        <v>3.29</v>
      </c>
      <c r="BJ72" s="1">
        <v>3.51</v>
      </c>
      <c r="BK72" s="1">
        <v>4.21</v>
      </c>
      <c r="BL72" s="1">
        <v>4.57</v>
      </c>
      <c r="BM72" s="1">
        <v>5.4</v>
      </c>
      <c r="BN72" s="1">
        <v>5.63</v>
      </c>
      <c r="BO72" s="1">
        <v>5.79</v>
      </c>
      <c r="BP72" s="1">
        <v>2.81</v>
      </c>
      <c r="BQ72" s="1">
        <v>2.96</v>
      </c>
      <c r="BR72" s="1">
        <v>2.41</v>
      </c>
      <c r="BS72" s="1">
        <v>3.25</v>
      </c>
      <c r="BT72" s="1">
        <v>3.84</v>
      </c>
      <c r="BU72" s="1">
        <v>4.1500000000000004</v>
      </c>
      <c r="BV72" s="1">
        <v>4.32</v>
      </c>
      <c r="BW72" s="1">
        <v>4.6500000000000004</v>
      </c>
      <c r="BX72" s="1">
        <v>5.05</v>
      </c>
      <c r="BY72" s="1">
        <v>5.57</v>
      </c>
      <c r="BZ72" s="1">
        <v>4.7300000000000004</v>
      </c>
      <c r="CA72" s="1">
        <v>5.1100000000000003</v>
      </c>
      <c r="CB72" s="1">
        <v>2.46</v>
      </c>
      <c r="CC72" s="1">
        <v>2.48</v>
      </c>
      <c r="CD72" s="1">
        <v>2.4300000000000002</v>
      </c>
      <c r="CE72" s="1">
        <v>3.19</v>
      </c>
      <c r="CF72" s="1">
        <v>4</v>
      </c>
      <c r="CG72" s="1">
        <v>4.76</v>
      </c>
      <c r="CH72" s="1">
        <v>6.25</v>
      </c>
      <c r="CI72" s="1">
        <v>6.84</v>
      </c>
      <c r="CJ72" s="1">
        <v>7.91</v>
      </c>
      <c r="CK72" s="1">
        <v>8.83</v>
      </c>
      <c r="CL72" s="1">
        <v>8.85</v>
      </c>
      <c r="CM72" s="1">
        <v>6.6</v>
      </c>
      <c r="CN72" s="1">
        <v>2.58</v>
      </c>
      <c r="CO72" s="1">
        <v>3.85</v>
      </c>
      <c r="CP72" s="1">
        <v>3.57</v>
      </c>
      <c r="CQ72" s="1">
        <v>4.13</v>
      </c>
      <c r="CR72" s="1">
        <v>4.24</v>
      </c>
      <c r="CS72" s="1">
        <v>5.0199999999999996</v>
      </c>
      <c r="CT72" s="1">
        <v>5.52</v>
      </c>
      <c r="CU72" s="1">
        <v>6.3</v>
      </c>
      <c r="CV72" s="1">
        <v>6.91</v>
      </c>
      <c r="CW72" s="1">
        <v>7.03</v>
      </c>
      <c r="CX72" s="1">
        <v>6.09</v>
      </c>
      <c r="CY72" s="1">
        <v>5.03</v>
      </c>
      <c r="CZ72" s="1">
        <v>2.23</v>
      </c>
      <c r="DA72" s="1">
        <v>2.91</v>
      </c>
      <c r="DB72" s="1">
        <v>3.43</v>
      </c>
      <c r="DC72" s="1">
        <v>4.21</v>
      </c>
      <c r="DD72" s="1">
        <v>4.74</v>
      </c>
      <c r="DE72" s="1">
        <v>5.29</v>
      </c>
      <c r="DF72" s="1">
        <v>5.78</v>
      </c>
      <c r="DG72" s="1">
        <v>6.26</v>
      </c>
      <c r="DH72" s="1">
        <v>7.08</v>
      </c>
      <c r="DI72" s="1">
        <v>7.47</v>
      </c>
      <c r="DJ72" s="1">
        <v>7</v>
      </c>
      <c r="DK72" s="1">
        <v>6.7</v>
      </c>
      <c r="DL72" s="1">
        <v>2.96</v>
      </c>
      <c r="DM72" s="1">
        <v>0.55000000000000004</v>
      </c>
      <c r="DN72" s="1">
        <v>0.72</v>
      </c>
      <c r="DO72" s="1">
        <v>1.48</v>
      </c>
      <c r="DP72" s="1">
        <v>1.95</v>
      </c>
      <c r="DQ72" s="1">
        <v>2.9</v>
      </c>
      <c r="DR72" s="1">
        <v>2.83</v>
      </c>
      <c r="DS72" s="1">
        <v>2.99</v>
      </c>
      <c r="DT72" s="1">
        <v>3.55</v>
      </c>
      <c r="DU72" s="1">
        <v>4.28</v>
      </c>
      <c r="DV72" s="1">
        <v>4.87</v>
      </c>
      <c r="DW72" s="1">
        <v>5.41</v>
      </c>
      <c r="DX72" s="1">
        <v>3.59</v>
      </c>
      <c r="DY72" s="1">
        <v>4</v>
      </c>
      <c r="DZ72" s="1">
        <v>4.0999999999999996</v>
      </c>
      <c r="EA72" s="1">
        <v>4.2</v>
      </c>
      <c r="EB72" s="1">
        <v>4.1500000000000004</v>
      </c>
      <c r="EC72" s="1">
        <v>4.12</v>
      </c>
      <c r="ED72" s="1">
        <v>4.59</v>
      </c>
      <c r="EE72" s="1">
        <v>5</v>
      </c>
      <c r="EF72" s="1">
        <v>5.69</v>
      </c>
      <c r="EG72" s="1">
        <v>5.89</v>
      </c>
      <c r="EH72" s="1">
        <v>5.23</v>
      </c>
      <c r="EI72" s="1">
        <v>2.7</v>
      </c>
      <c r="EJ72" s="1">
        <v>1.83</v>
      </c>
      <c r="EK72" s="1">
        <v>0.52</v>
      </c>
      <c r="EL72" s="1">
        <v>1.28</v>
      </c>
      <c r="EM72" s="1">
        <v>2.02</v>
      </c>
      <c r="EN72" s="1">
        <v>2.72</v>
      </c>
      <c r="EO72" s="1">
        <v>3.14</v>
      </c>
      <c r="EP72" s="1">
        <v>3.63</v>
      </c>
      <c r="EQ72" s="1">
        <v>3.64</v>
      </c>
      <c r="ER72" s="1">
        <v>4.16</v>
      </c>
      <c r="ES72" s="1">
        <v>4.55</v>
      </c>
      <c r="ET72" s="1">
        <v>5.27</v>
      </c>
      <c r="EU72" s="1">
        <v>5.35</v>
      </c>
      <c r="EV72" s="1">
        <v>0.9</v>
      </c>
      <c r="EW72" s="1">
        <v>0.41</v>
      </c>
      <c r="EX72" s="1">
        <v>1.96</v>
      </c>
      <c r="EY72" s="1">
        <v>2.48</v>
      </c>
      <c r="EZ72" s="1">
        <v>2.78</v>
      </c>
      <c r="FA72" s="1">
        <v>3.18</v>
      </c>
      <c r="FB72" s="1">
        <v>4.2</v>
      </c>
      <c r="FC72" s="1">
        <v>4.78</v>
      </c>
      <c r="FD72" s="1">
        <v>5.44</v>
      </c>
      <c r="FE72" s="1">
        <v>5.99</v>
      </c>
      <c r="FF72" s="1">
        <v>5.22</v>
      </c>
      <c r="FG72" s="1">
        <v>5.3</v>
      </c>
      <c r="FH72" s="1">
        <v>5.33</v>
      </c>
      <c r="FI72" s="1">
        <v>4.08</v>
      </c>
      <c r="FJ72" s="1">
        <v>3.9</v>
      </c>
      <c r="FK72" s="1">
        <v>4.51</v>
      </c>
      <c r="FL72" s="1">
        <v>5</v>
      </c>
      <c r="FM72" s="1">
        <v>5.12</v>
      </c>
      <c r="FN72" s="1">
        <v>5.65</v>
      </c>
      <c r="FO72" s="1">
        <v>5.96</v>
      </c>
      <c r="FP72" s="1">
        <v>6.51</v>
      </c>
      <c r="FQ72" s="1">
        <v>4.28</v>
      </c>
      <c r="FR72" s="1">
        <v>3.58</v>
      </c>
      <c r="FS72" s="1">
        <v>1.57</v>
      </c>
      <c r="FT72" s="1">
        <v>1.47</v>
      </c>
      <c r="FU72" s="1">
        <v>1.48</v>
      </c>
      <c r="FV72" s="1">
        <v>2.38</v>
      </c>
      <c r="FW72" s="1">
        <v>2.58</v>
      </c>
      <c r="FX72" s="1">
        <v>2.63</v>
      </c>
      <c r="FY72" s="1">
        <v>3.14</v>
      </c>
      <c r="FZ72" s="1">
        <v>3.41</v>
      </c>
      <c r="GA72" s="1">
        <v>3.78</v>
      </c>
      <c r="GB72" s="1">
        <v>4.24</v>
      </c>
      <c r="GC72" s="1">
        <v>4.57</v>
      </c>
      <c r="GD72" s="1">
        <v>3.89</v>
      </c>
      <c r="GE72" s="1">
        <v>2.83</v>
      </c>
      <c r="GF72" s="1">
        <v>2.81</v>
      </c>
      <c r="GG72" s="1">
        <v>1.73</v>
      </c>
      <c r="GH72" s="1">
        <v>3.11</v>
      </c>
      <c r="GI72" s="1">
        <v>3.58</v>
      </c>
      <c r="GJ72" s="1">
        <v>4.03</v>
      </c>
      <c r="GK72" s="1">
        <v>4.2</v>
      </c>
      <c r="GL72" s="1">
        <v>5.64</v>
      </c>
      <c r="GM72" s="1">
        <v>4.9000000000000004</v>
      </c>
      <c r="GN72" s="1">
        <v>5.5</v>
      </c>
      <c r="GO72" s="1">
        <v>5.69</v>
      </c>
      <c r="GP72" s="1">
        <v>5.13</v>
      </c>
      <c r="GQ72" s="1">
        <v>2.15</v>
      </c>
      <c r="GR72" s="1">
        <v>1.45</v>
      </c>
      <c r="GS72" s="1">
        <v>1.18</v>
      </c>
      <c r="GT72" s="1">
        <v>2.0499999999999998</v>
      </c>
      <c r="GU72" s="1">
        <v>1.51</v>
      </c>
      <c r="GV72" s="1">
        <v>2.64</v>
      </c>
      <c r="GW72" s="1">
        <v>3.08</v>
      </c>
      <c r="GX72" s="1">
        <v>3.21</v>
      </c>
      <c r="GY72" s="1">
        <v>3.65</v>
      </c>
      <c r="GZ72" s="1">
        <v>4.3</v>
      </c>
      <c r="HA72" s="1">
        <v>4.9800000000000004</v>
      </c>
      <c r="HB72" s="1">
        <v>4.6399999999999997</v>
      </c>
      <c r="HC72" s="1">
        <v>2.63</v>
      </c>
      <c r="HD72" s="1">
        <v>2.2200000000000002</v>
      </c>
      <c r="HE72" s="1">
        <v>2.15</v>
      </c>
      <c r="HF72" s="1">
        <v>2.2799999999999998</v>
      </c>
      <c r="HG72" s="1">
        <v>2.38</v>
      </c>
      <c r="HH72" s="1">
        <v>2.68</v>
      </c>
      <c r="HI72" s="1">
        <v>2.9</v>
      </c>
      <c r="HJ72" s="1">
        <v>3.16</v>
      </c>
      <c r="HK72" s="1">
        <v>3.58</v>
      </c>
      <c r="HL72" s="1">
        <v>4.22</v>
      </c>
      <c r="HM72" s="1">
        <v>4.9400000000000004</v>
      </c>
      <c r="HN72" s="1">
        <v>5.45</v>
      </c>
      <c r="HO72" s="1">
        <v>5.58</v>
      </c>
      <c r="HP72" s="1">
        <v>3.98</v>
      </c>
      <c r="HQ72" s="1">
        <v>2.02</v>
      </c>
      <c r="HR72" s="1">
        <v>1.98</v>
      </c>
      <c r="HS72" s="1">
        <v>3.13</v>
      </c>
      <c r="HT72" s="1">
        <v>3.65</v>
      </c>
      <c r="HU72" s="1">
        <v>3.88</v>
      </c>
      <c r="HV72" s="1">
        <v>4.7300000000000004</v>
      </c>
      <c r="HW72" s="1">
        <v>4.88</v>
      </c>
      <c r="HX72" s="1">
        <v>5.27</v>
      </c>
      <c r="HY72" s="1">
        <v>5.58</v>
      </c>
      <c r="HZ72" s="1">
        <v>2.9</v>
      </c>
      <c r="IA72" s="1">
        <v>2.84</v>
      </c>
      <c r="IB72" s="1">
        <v>2.78</v>
      </c>
      <c r="IC72" s="1">
        <v>2.12</v>
      </c>
      <c r="ID72" s="1">
        <v>2.23</v>
      </c>
      <c r="IE72" s="1">
        <v>3.46</v>
      </c>
      <c r="IF72" s="1">
        <v>3.84</v>
      </c>
      <c r="IG72" s="1">
        <v>4.22</v>
      </c>
      <c r="IH72" s="1">
        <v>4.6399999999999997</v>
      </c>
      <c r="II72" s="1">
        <v>5.33</v>
      </c>
      <c r="IJ72" s="1">
        <v>6</v>
      </c>
      <c r="IK72" s="1">
        <v>6.29</v>
      </c>
      <c r="IL72" s="1">
        <v>6.01</v>
      </c>
      <c r="IM72" s="1">
        <v>3.78</v>
      </c>
      <c r="IN72" s="1">
        <v>2.95</v>
      </c>
      <c r="IO72" s="1">
        <v>2.04</v>
      </c>
      <c r="IP72" s="1">
        <v>1.96</v>
      </c>
      <c r="IQ72" s="1">
        <v>3.26</v>
      </c>
      <c r="IR72" s="1">
        <v>4.13</v>
      </c>
      <c r="IS72" s="1">
        <v>4.96</v>
      </c>
      <c r="IT72" s="1">
        <v>5.5</v>
      </c>
      <c r="IU72" s="1">
        <v>5.97</v>
      </c>
      <c r="IV72" s="1">
        <v>6.82</v>
      </c>
      <c r="IW72" s="1">
        <v>6.97</v>
      </c>
      <c r="IX72" s="1">
        <v>6.64</v>
      </c>
      <c r="IY72" s="1">
        <v>3.64</v>
      </c>
      <c r="IZ72" s="1">
        <v>3.52</v>
      </c>
      <c r="JA72" s="1">
        <v>2.19</v>
      </c>
      <c r="JB72" s="1">
        <v>3.25</v>
      </c>
      <c r="JC72" s="1">
        <v>4.46</v>
      </c>
      <c r="JD72" s="1">
        <v>5.1100000000000003</v>
      </c>
      <c r="JE72" s="1">
        <v>5.47</v>
      </c>
      <c r="JF72" s="1">
        <v>5.95</v>
      </c>
      <c r="JG72" s="1">
        <v>6.46</v>
      </c>
      <c r="JH72" s="1">
        <v>6.66</v>
      </c>
      <c r="JI72" s="1">
        <v>7.15</v>
      </c>
      <c r="JJ72" s="1">
        <v>6.7</v>
      </c>
      <c r="JK72" s="1">
        <v>4.22</v>
      </c>
      <c r="JL72" s="1">
        <v>1.98</v>
      </c>
      <c r="JM72" s="1">
        <v>4.2699999999999996</v>
      </c>
      <c r="JN72" s="1">
        <v>5.16</v>
      </c>
      <c r="JO72" s="1">
        <v>5.42</v>
      </c>
      <c r="JP72" s="1">
        <v>5.69</v>
      </c>
      <c r="JQ72" s="1">
        <v>5.78</v>
      </c>
      <c r="JR72" s="1">
        <v>5.83</v>
      </c>
      <c r="JS72" s="1">
        <v>6.58</v>
      </c>
      <c r="JT72" s="1">
        <v>6.94</v>
      </c>
      <c r="JU72" s="1">
        <v>7.21</v>
      </c>
      <c r="JV72" s="1">
        <v>7.58</v>
      </c>
      <c r="JW72" s="1">
        <v>7.78</v>
      </c>
      <c r="JX72" s="1">
        <v>5.49</v>
      </c>
      <c r="JY72" s="1">
        <v>2.5299999999999998</v>
      </c>
      <c r="JZ72" s="1">
        <v>3.52</v>
      </c>
      <c r="KA72" s="1">
        <v>4.9800000000000004</v>
      </c>
      <c r="KB72" s="1">
        <v>5.3</v>
      </c>
      <c r="KC72" s="1">
        <v>4.68</v>
      </c>
      <c r="KD72" s="1">
        <v>5.15</v>
      </c>
      <c r="KE72" s="1"/>
      <c r="KF72" s="1"/>
      <c r="KG72" s="1">
        <v>6.46</v>
      </c>
      <c r="KH72" s="1">
        <v>5.99</v>
      </c>
      <c r="KI72" s="1">
        <v>2.14</v>
      </c>
      <c r="KJ72" s="1">
        <v>1.28</v>
      </c>
      <c r="KK72" s="1">
        <v>2.95</v>
      </c>
      <c r="KL72" s="1">
        <v>1.83</v>
      </c>
      <c r="KM72" s="1">
        <v>4.2300000000000004</v>
      </c>
      <c r="KN72" s="1">
        <v>3.65</v>
      </c>
      <c r="KO72" s="1">
        <v>3.8</v>
      </c>
      <c r="KP72" s="1">
        <v>5.67</v>
      </c>
      <c r="KQ72" s="1">
        <v>6.06</v>
      </c>
      <c r="KR72" s="1">
        <v>6.23</v>
      </c>
      <c r="KS72" s="1">
        <v>5.58</v>
      </c>
      <c r="KT72" s="1">
        <v>5.62</v>
      </c>
      <c r="KU72" s="1">
        <v>3.43</v>
      </c>
      <c r="KV72" s="1">
        <v>2.08</v>
      </c>
      <c r="KW72" s="1">
        <v>1.47</v>
      </c>
      <c r="KX72" s="1">
        <v>3.49</v>
      </c>
      <c r="KY72" s="1">
        <v>4.53</v>
      </c>
      <c r="KZ72" s="1">
        <v>5.25</v>
      </c>
      <c r="LA72" s="1">
        <v>5.61</v>
      </c>
      <c r="LB72" s="1">
        <v>5.93</v>
      </c>
      <c r="LC72" s="1">
        <v>6.09</v>
      </c>
      <c r="LD72" s="1">
        <v>6.06</v>
      </c>
      <c r="LE72" s="1">
        <v>7.41</v>
      </c>
      <c r="LF72" s="1">
        <v>7.7</v>
      </c>
      <c r="LG72" s="1">
        <v>4.6800000000000006</v>
      </c>
      <c r="LH72" s="1">
        <v>3.1</v>
      </c>
      <c r="LI72" s="1">
        <v>4.1500000000000004</v>
      </c>
      <c r="LJ72" s="1">
        <v>3.83</v>
      </c>
      <c r="LK72" s="1">
        <v>4.660000000000001</v>
      </c>
      <c r="LL72" s="1">
        <v>5.29</v>
      </c>
      <c r="LM72" s="1">
        <v>5.82</v>
      </c>
      <c r="LN72" s="1">
        <v>6.3</v>
      </c>
      <c r="LO72" s="1">
        <v>6.6000000000000005</v>
      </c>
      <c r="LP72" s="1">
        <v>6.9200000000000008</v>
      </c>
      <c r="LQ72" s="1">
        <v>7.28</v>
      </c>
      <c r="LR72" s="1">
        <v>8.8000000000000007</v>
      </c>
      <c r="LS72" s="1">
        <v>3.62</v>
      </c>
      <c r="LT72" s="1">
        <v>3.66</v>
      </c>
      <c r="LU72" s="1">
        <v>3.37</v>
      </c>
      <c r="LV72" s="1">
        <v>4.1800000000000006</v>
      </c>
      <c r="LW72" s="1">
        <v>5.17</v>
      </c>
      <c r="LX72" s="1">
        <v>4.13</v>
      </c>
      <c r="LY72" s="1">
        <v>4.8600000000000003</v>
      </c>
      <c r="LZ72" s="1">
        <v>5.3500000000000005</v>
      </c>
      <c r="MA72" s="1">
        <v>5.88</v>
      </c>
      <c r="MB72" s="1">
        <v>6.78</v>
      </c>
      <c r="MC72" s="1">
        <v>7.1800000000000006</v>
      </c>
      <c r="MD72" s="1">
        <v>4.97</v>
      </c>
      <c r="ME72" s="1">
        <v>4.58</v>
      </c>
      <c r="MF72" s="1">
        <v>3.12</v>
      </c>
      <c r="MG72" s="1">
        <v>1.9499999999999997</v>
      </c>
      <c r="MH72" s="1">
        <v>3.4800000000000004</v>
      </c>
      <c r="MI72" s="1">
        <v>4.1800000000000006</v>
      </c>
      <c r="MJ72" s="1">
        <v>4.6800000000000006</v>
      </c>
      <c r="MK72" s="1">
        <v>5.28</v>
      </c>
      <c r="ML72" s="1">
        <v>5.6800000000000006</v>
      </c>
      <c r="MM72" s="1">
        <v>6.08</v>
      </c>
      <c r="MN72" s="1">
        <v>6.4799999999999995</v>
      </c>
      <c r="MO72" s="1">
        <v>6.6400000000000006</v>
      </c>
      <c r="MP72" s="1">
        <v>6.4799999999999995</v>
      </c>
      <c r="MQ72" s="1">
        <v>4.6800000000000006</v>
      </c>
      <c r="MR72" s="1">
        <v>2.33</v>
      </c>
      <c r="MS72" s="1">
        <v>1.0799999999999998</v>
      </c>
      <c r="MT72">
        <v>2.4900000000000002</v>
      </c>
      <c r="MU72">
        <v>1.7199999999999998</v>
      </c>
    </row>
    <row r="73" spans="1:359" ht="15.75" x14ac:dyDescent="0.25">
      <c r="A73" s="8" t="s">
        <v>0</v>
      </c>
      <c r="B73" s="39">
        <v>20511</v>
      </c>
      <c r="C73" s="39" t="s">
        <v>116</v>
      </c>
      <c r="D73" s="39" t="s">
        <v>127</v>
      </c>
      <c r="E73" s="39" t="s">
        <v>128</v>
      </c>
      <c r="F73" s="39" t="s">
        <v>38</v>
      </c>
      <c r="G73" s="39" t="s">
        <v>209</v>
      </c>
      <c r="H73" s="41">
        <v>30.48</v>
      </c>
      <c r="I73" s="39" t="s">
        <v>129</v>
      </c>
      <c r="J73" s="40">
        <v>68.570700000000002</v>
      </c>
      <c r="K73" s="39">
        <v>16.8786442</v>
      </c>
      <c r="L73" s="39">
        <v>80.027134500000003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5.49</v>
      </c>
      <c r="Z73" s="1">
        <v>5.5</v>
      </c>
      <c r="AA73" s="1">
        <v>6.17</v>
      </c>
      <c r="AB73" s="1">
        <v>5.71</v>
      </c>
      <c r="AC73" s="1">
        <v>5.49</v>
      </c>
      <c r="AD73" s="1">
        <v>6.67</v>
      </c>
      <c r="AE73" s="1">
        <v>9.8000000000000007</v>
      </c>
      <c r="AF73" s="1">
        <v>6.5</v>
      </c>
      <c r="AG73" s="1">
        <v>6.64</v>
      </c>
      <c r="AH73" s="1">
        <v>6.33</v>
      </c>
      <c r="AI73" s="1">
        <v>6.25</v>
      </c>
      <c r="AJ73" s="1">
        <v>7</v>
      </c>
      <c r="AK73" s="1">
        <v>7.3</v>
      </c>
      <c r="AL73" s="1">
        <v>8.89</v>
      </c>
      <c r="AM73" s="1">
        <v>9</v>
      </c>
      <c r="AN73" s="1">
        <v>9.44</v>
      </c>
      <c r="AO73" s="1">
        <v>10.75</v>
      </c>
      <c r="AP73" s="1">
        <v>9.5500000000000007</v>
      </c>
      <c r="AQ73" s="1">
        <v>9.67</v>
      </c>
      <c r="AR73" s="1">
        <v>7.99</v>
      </c>
      <c r="AS73" s="1">
        <v>4.7</v>
      </c>
      <c r="AT73" s="1">
        <v>5.94</v>
      </c>
      <c r="AU73" s="1">
        <v>7.07</v>
      </c>
      <c r="AV73" s="1">
        <v>6.75</v>
      </c>
      <c r="AW73" s="1">
        <v>7.95</v>
      </c>
      <c r="AX73" s="1">
        <v>8.18</v>
      </c>
      <c r="AY73" s="1">
        <v>8.36</v>
      </c>
      <c r="AZ73" s="1">
        <v>9</v>
      </c>
      <c r="BA73" s="1">
        <v>9.69</v>
      </c>
      <c r="BB73" s="1">
        <v>7.75</v>
      </c>
      <c r="BC73" s="1">
        <v>6.08</v>
      </c>
      <c r="BD73" s="1">
        <v>3.55</v>
      </c>
      <c r="BE73" s="1">
        <v>6.19</v>
      </c>
      <c r="BF73" s="1">
        <v>7.84</v>
      </c>
      <c r="BG73" s="1">
        <v>8.67</v>
      </c>
      <c r="BH73" s="1">
        <v>8.5500000000000007</v>
      </c>
      <c r="BI73" s="1">
        <v>5.12</v>
      </c>
      <c r="BJ73" s="1">
        <v>8.1</v>
      </c>
      <c r="BK73" s="1">
        <v>9.09</v>
      </c>
      <c r="BL73" s="1">
        <v>9.99</v>
      </c>
      <c r="BM73" s="1">
        <v>10.81</v>
      </c>
      <c r="BN73" s="1">
        <v>9.61</v>
      </c>
      <c r="BO73" s="1">
        <v>9.73</v>
      </c>
      <c r="BP73" s="1">
        <v>7.98</v>
      </c>
      <c r="BQ73" s="1">
        <v>8.11</v>
      </c>
      <c r="BR73" s="1">
        <v>5.99</v>
      </c>
      <c r="BS73" s="1">
        <v>7.66</v>
      </c>
      <c r="BT73" s="1">
        <v>8.0299999999999994</v>
      </c>
      <c r="BU73" s="1">
        <v>8.4600000000000009</v>
      </c>
      <c r="BV73" s="1">
        <v>8.6199999999999992</v>
      </c>
      <c r="BW73" s="1">
        <v>8.2899999999999991</v>
      </c>
      <c r="BX73" s="1">
        <v>8.94</v>
      </c>
      <c r="BY73" s="1">
        <v>9.6199999999999992</v>
      </c>
      <c r="BZ73" s="1">
        <v>10.01</v>
      </c>
      <c r="CA73" s="1">
        <v>9.7899999999999991</v>
      </c>
      <c r="CB73" s="1">
        <v>9.65</v>
      </c>
      <c r="CC73" s="1">
        <v>10.029999999999999</v>
      </c>
      <c r="CD73" s="1">
        <v>8.77</v>
      </c>
      <c r="CE73" s="1">
        <v>9.99</v>
      </c>
      <c r="CF73" s="1">
        <v>10.01</v>
      </c>
      <c r="CG73" s="1">
        <v>10.6</v>
      </c>
      <c r="CH73" s="1">
        <v>11.61</v>
      </c>
      <c r="CI73" s="1">
        <v>11.87</v>
      </c>
      <c r="CJ73" s="1">
        <v>13.08</v>
      </c>
      <c r="CK73" s="1">
        <v>13.69</v>
      </c>
      <c r="CL73" s="1">
        <v>11.33</v>
      </c>
      <c r="CM73" s="1">
        <v>9.1199999999999992</v>
      </c>
      <c r="CN73" s="1">
        <v>9.18</v>
      </c>
      <c r="CO73" s="1">
        <v>7.49</v>
      </c>
      <c r="CP73" s="1">
        <v>5.59</v>
      </c>
      <c r="CQ73" s="1">
        <v>9.0399999999999991</v>
      </c>
      <c r="CR73" s="1">
        <v>9.26</v>
      </c>
      <c r="CS73" s="1">
        <v>9.9499999999999993</v>
      </c>
      <c r="CT73" s="1">
        <v>9.92</v>
      </c>
      <c r="CU73" s="1">
        <v>10.54</v>
      </c>
      <c r="CV73" s="1">
        <v>12.87</v>
      </c>
      <c r="CW73" s="1">
        <v>10.16</v>
      </c>
      <c r="CX73" s="1">
        <v>9.94</v>
      </c>
      <c r="CY73" s="1">
        <v>9.5399999999999991</v>
      </c>
      <c r="CZ73" s="1">
        <v>9.1199999999999992</v>
      </c>
      <c r="DA73" s="1">
        <v>9.06</v>
      </c>
      <c r="DB73" s="1">
        <v>8.59</v>
      </c>
      <c r="DC73" s="1">
        <v>9.08</v>
      </c>
      <c r="DD73" s="1">
        <v>8.3000000000000007</v>
      </c>
      <c r="DE73" s="1">
        <v>8.52</v>
      </c>
      <c r="DF73" s="1">
        <v>8.98</v>
      </c>
      <c r="DG73" s="1">
        <v>8.7200000000000006</v>
      </c>
      <c r="DH73" s="1">
        <v>10.01</v>
      </c>
      <c r="DI73" s="1">
        <v>9.8800000000000008</v>
      </c>
      <c r="DJ73" s="1">
        <v>6.64</v>
      </c>
      <c r="DK73" s="1">
        <v>5.7</v>
      </c>
      <c r="DL73" s="1">
        <v>7.29</v>
      </c>
      <c r="DM73" s="1">
        <v>3.52</v>
      </c>
      <c r="DN73" s="1">
        <v>3.4</v>
      </c>
      <c r="DO73" s="1">
        <v>4.6900000000000004</v>
      </c>
      <c r="DP73" s="1">
        <v>5.65</v>
      </c>
      <c r="DQ73" s="1">
        <v>6.77</v>
      </c>
      <c r="DR73" s="1">
        <v>7.02</v>
      </c>
      <c r="DS73" s="1">
        <v>7.03</v>
      </c>
      <c r="DT73" s="1">
        <v>5.85</v>
      </c>
      <c r="DU73" s="1">
        <v>7.23</v>
      </c>
      <c r="DV73" s="1">
        <v>7.28</v>
      </c>
      <c r="DW73" s="1">
        <v>8.34</v>
      </c>
      <c r="DX73" s="1">
        <v>6.26</v>
      </c>
      <c r="DY73" s="1">
        <v>3.1</v>
      </c>
      <c r="DZ73" s="1">
        <v>4.6100000000000003</v>
      </c>
      <c r="EA73" s="1">
        <v>5.33</v>
      </c>
      <c r="EB73" s="1">
        <v>5.5</v>
      </c>
      <c r="EC73" s="1">
        <v>5.88</v>
      </c>
      <c r="ED73" s="1">
        <v>6.19</v>
      </c>
      <c r="EE73" s="1">
        <v>6.2</v>
      </c>
      <c r="EF73" s="1">
        <v>6.22</v>
      </c>
      <c r="EG73" s="1">
        <v>6.47</v>
      </c>
      <c r="EH73" s="1">
        <v>5.34</v>
      </c>
      <c r="EI73" s="1">
        <v>5.65</v>
      </c>
      <c r="EJ73" s="1">
        <v>6.28</v>
      </c>
      <c r="EK73" s="1">
        <v>3.73</v>
      </c>
      <c r="EL73" s="1">
        <v>2.67</v>
      </c>
      <c r="EM73" s="1">
        <v>3.58</v>
      </c>
      <c r="EN73" s="1">
        <v>5.0999999999999996</v>
      </c>
      <c r="EO73" s="1">
        <v>5.33</v>
      </c>
      <c r="EP73" s="1">
        <v>5.27</v>
      </c>
      <c r="EQ73" s="1">
        <v>5.65</v>
      </c>
      <c r="ER73" s="1">
        <v>5.98</v>
      </c>
      <c r="ES73" s="1">
        <v>6.47</v>
      </c>
      <c r="ET73" s="1">
        <v>6.68</v>
      </c>
      <c r="EU73" s="1">
        <v>4.84</v>
      </c>
      <c r="EV73" s="1">
        <v>1.92</v>
      </c>
      <c r="EW73" s="1">
        <v>1.73</v>
      </c>
      <c r="EX73" s="1">
        <v>4.58</v>
      </c>
      <c r="EY73" s="1">
        <v>5.34</v>
      </c>
      <c r="EZ73" s="1">
        <v>5.39</v>
      </c>
      <c r="FA73" s="1">
        <v>5.59</v>
      </c>
      <c r="FB73" s="1">
        <v>6</v>
      </c>
      <c r="FC73" s="1">
        <v>5.83</v>
      </c>
      <c r="FD73" s="1">
        <v>5.89</v>
      </c>
      <c r="FE73" s="1">
        <v>5.9</v>
      </c>
      <c r="FF73" s="1">
        <v>6.57</v>
      </c>
      <c r="FG73" s="1">
        <v>6.66</v>
      </c>
      <c r="FH73" s="1">
        <v>5.32</v>
      </c>
      <c r="FI73" s="1">
        <v>5.98</v>
      </c>
      <c r="FJ73" s="1">
        <v>4.68</v>
      </c>
      <c r="FK73" s="1">
        <v>5.48</v>
      </c>
      <c r="FL73" s="1">
        <v>5.65</v>
      </c>
      <c r="FM73" s="1">
        <v>5.07</v>
      </c>
      <c r="FN73" s="1">
        <v>5.45</v>
      </c>
      <c r="FO73" s="1">
        <v>6.15</v>
      </c>
      <c r="FP73" s="1">
        <v>6.42</v>
      </c>
      <c r="FQ73" s="1">
        <v>6.67</v>
      </c>
      <c r="FR73" s="1">
        <v>5.83</v>
      </c>
      <c r="FS73" s="1">
        <v>2.5299999999999998</v>
      </c>
      <c r="FT73" s="1">
        <v>1.95</v>
      </c>
      <c r="FU73" s="1">
        <v>1.41</v>
      </c>
      <c r="FV73" s="1">
        <v>1.83</v>
      </c>
      <c r="FW73" s="1">
        <v>2.95</v>
      </c>
      <c r="FX73" s="1">
        <v>3.78</v>
      </c>
      <c r="FY73" s="1">
        <v>4.7</v>
      </c>
      <c r="FZ73" s="1">
        <v>5.28</v>
      </c>
      <c r="GA73" s="1">
        <v>5.05</v>
      </c>
      <c r="GB73" s="1">
        <v>4.1500000000000004</v>
      </c>
      <c r="GC73" s="1">
        <v>5.44</v>
      </c>
      <c r="GD73" s="1">
        <v>5.35</v>
      </c>
      <c r="GE73" s="1">
        <v>4.5</v>
      </c>
      <c r="GF73" s="1">
        <v>3.03</v>
      </c>
      <c r="GG73" s="1">
        <v>4.45</v>
      </c>
      <c r="GH73" s="1">
        <v>4.7300000000000004</v>
      </c>
      <c r="GI73" s="1">
        <v>4.8</v>
      </c>
      <c r="GJ73" s="1">
        <v>5.2</v>
      </c>
      <c r="GK73" s="1">
        <v>4.7</v>
      </c>
      <c r="GL73" s="1">
        <v>5.05</v>
      </c>
      <c r="GM73" s="1">
        <v>5.73</v>
      </c>
      <c r="GN73" s="1">
        <v>6.25</v>
      </c>
      <c r="GO73" s="1">
        <v>6.65</v>
      </c>
      <c r="GP73" s="1">
        <v>7.25</v>
      </c>
      <c r="GQ73" s="1">
        <v>3.42</v>
      </c>
      <c r="GR73" s="1">
        <v>4.1500000000000004</v>
      </c>
      <c r="GS73" s="1">
        <v>1.93</v>
      </c>
      <c r="GT73" s="1">
        <v>3.95</v>
      </c>
      <c r="GU73" s="1">
        <v>4</v>
      </c>
      <c r="GV73" s="1">
        <v>5.07</v>
      </c>
      <c r="GW73" s="1">
        <v>5.63</v>
      </c>
      <c r="GX73" s="1">
        <v>4.4800000000000004</v>
      </c>
      <c r="GY73" s="1">
        <v>5.79</v>
      </c>
      <c r="GZ73" s="1">
        <v>6.93</v>
      </c>
      <c r="HA73" s="1">
        <v>7.45</v>
      </c>
      <c r="HB73" s="1">
        <v>6.16</v>
      </c>
      <c r="HC73" s="1">
        <v>4.24</v>
      </c>
      <c r="HD73" s="1">
        <v>3.63</v>
      </c>
      <c r="HE73" s="1">
        <v>3.45</v>
      </c>
      <c r="HF73" s="1">
        <v>1.62</v>
      </c>
      <c r="HG73" s="1">
        <v>4.05</v>
      </c>
      <c r="HH73" s="1">
        <v>4.83</v>
      </c>
      <c r="HI73" s="1">
        <v>5</v>
      </c>
      <c r="HJ73" s="1">
        <v>4.71</v>
      </c>
      <c r="HK73" s="1">
        <v>5.58</v>
      </c>
      <c r="HL73" s="1">
        <v>5.35</v>
      </c>
      <c r="HM73" s="1">
        <v>5.48</v>
      </c>
      <c r="HN73" s="1">
        <v>6.15</v>
      </c>
      <c r="HO73" s="1">
        <v>5.79</v>
      </c>
      <c r="HP73" s="1">
        <v>5.63</v>
      </c>
      <c r="HQ73" s="1">
        <v>3.6</v>
      </c>
      <c r="HR73" s="1">
        <v>4.45</v>
      </c>
      <c r="HS73" s="1">
        <v>4.5</v>
      </c>
      <c r="HT73" s="1">
        <v>2.5</v>
      </c>
      <c r="HU73" s="1">
        <v>5.23</v>
      </c>
      <c r="HV73" s="1">
        <v>5.35</v>
      </c>
      <c r="HW73" s="1">
        <v>5.67</v>
      </c>
      <c r="HX73" s="1">
        <v>6.09</v>
      </c>
      <c r="HY73" s="1">
        <v>6.5</v>
      </c>
      <c r="HZ73" s="1">
        <v>1.78</v>
      </c>
      <c r="IA73" s="1">
        <v>4.66</v>
      </c>
      <c r="IB73" s="1">
        <v>5.55</v>
      </c>
      <c r="IC73" s="1">
        <v>4.4400000000000004</v>
      </c>
      <c r="ID73" s="1">
        <v>7.16</v>
      </c>
      <c r="IE73" s="1">
        <v>9.36</v>
      </c>
      <c r="IF73" s="1">
        <v>9.73</v>
      </c>
      <c r="IG73" s="1">
        <v>13.04</v>
      </c>
      <c r="IH73" s="1">
        <v>16.420000000000002</v>
      </c>
      <c r="II73" s="1">
        <v>17.940000000000001</v>
      </c>
      <c r="IJ73" s="1">
        <v>19.28</v>
      </c>
      <c r="IK73" s="1">
        <v>19.05</v>
      </c>
      <c r="IL73" s="1">
        <v>16.899999999999999</v>
      </c>
      <c r="IM73" s="1">
        <v>11.53</v>
      </c>
      <c r="IN73" s="1">
        <v>7.24</v>
      </c>
      <c r="IO73" s="1">
        <v>1.74</v>
      </c>
      <c r="IP73" s="1">
        <v>3.79</v>
      </c>
      <c r="IQ73" s="1">
        <v>5.32</v>
      </c>
      <c r="IR73" s="1">
        <v>5.55</v>
      </c>
      <c r="IS73" s="1">
        <v>5.72</v>
      </c>
      <c r="IT73" s="1">
        <v>5.91</v>
      </c>
      <c r="IU73" s="1">
        <v>6.55</v>
      </c>
      <c r="IV73" s="1">
        <v>7.31</v>
      </c>
      <c r="IW73" s="1">
        <v>6.73</v>
      </c>
      <c r="IX73" s="1">
        <v>5.87</v>
      </c>
      <c r="IY73" s="1">
        <v>2.35</v>
      </c>
      <c r="IZ73" s="1">
        <v>3.15</v>
      </c>
      <c r="JA73" s="1">
        <v>3.65</v>
      </c>
      <c r="JB73" s="1">
        <v>3.5</v>
      </c>
      <c r="JC73" s="1">
        <v>5.68</v>
      </c>
      <c r="JD73" s="1">
        <v>5.18</v>
      </c>
      <c r="JE73" s="1">
        <v>5.43</v>
      </c>
      <c r="JF73" s="1">
        <v>5.41</v>
      </c>
      <c r="JG73" s="1">
        <v>5.48</v>
      </c>
      <c r="JH73" s="1">
        <v>5.7</v>
      </c>
      <c r="JI73" s="1">
        <v>5.0599999999999996</v>
      </c>
      <c r="JJ73" s="1">
        <v>5.59</v>
      </c>
      <c r="JK73" s="1">
        <v>4.57</v>
      </c>
      <c r="JL73" s="1">
        <v>4.0599999999999996</v>
      </c>
      <c r="JM73" s="1">
        <v>3.29</v>
      </c>
      <c r="JN73" s="1">
        <v>4.75</v>
      </c>
      <c r="JO73" s="1">
        <v>4</v>
      </c>
      <c r="JP73" s="1">
        <v>4.6399999999999997</v>
      </c>
      <c r="JQ73" s="1">
        <v>4.6900000000000004</v>
      </c>
      <c r="JR73" s="1">
        <v>5.4</v>
      </c>
      <c r="JS73" s="1">
        <v>11.09</v>
      </c>
      <c r="JT73" s="1">
        <v>10.11</v>
      </c>
      <c r="JU73" s="1">
        <v>12</v>
      </c>
      <c r="JV73" s="1">
        <v>11.2</v>
      </c>
      <c r="JW73" s="1">
        <v>7</v>
      </c>
      <c r="JX73" s="1">
        <v>7.3</v>
      </c>
      <c r="JY73" s="1">
        <v>4.9000000000000004</v>
      </c>
      <c r="JZ73" s="1">
        <v>3.9</v>
      </c>
      <c r="KA73" s="1">
        <v>5.22</v>
      </c>
      <c r="KB73" s="1">
        <v>5.41</v>
      </c>
      <c r="KC73" s="1">
        <v>5.73</v>
      </c>
      <c r="KD73" s="1">
        <v>6.38</v>
      </c>
      <c r="KE73" s="1"/>
      <c r="KF73" s="1"/>
      <c r="KG73" s="1">
        <v>7.72</v>
      </c>
      <c r="KH73" s="1">
        <v>5.73</v>
      </c>
      <c r="KI73" s="1">
        <v>1.73</v>
      </c>
      <c r="KJ73" s="1">
        <v>2.39</v>
      </c>
      <c r="KK73" s="1">
        <v>2.92</v>
      </c>
      <c r="KL73" s="1">
        <v>1.6</v>
      </c>
      <c r="KM73" s="1">
        <v>3.82</v>
      </c>
      <c r="KN73" s="1">
        <v>4.3</v>
      </c>
      <c r="KO73" s="1">
        <v>4.71</v>
      </c>
      <c r="KP73" s="1">
        <v>4.91</v>
      </c>
      <c r="KQ73" s="1">
        <v>5.42</v>
      </c>
      <c r="KR73" s="1">
        <v>6.12</v>
      </c>
      <c r="KS73" s="1">
        <v>5.47</v>
      </c>
      <c r="KT73" s="1">
        <v>5.21</v>
      </c>
      <c r="KU73" s="1">
        <v>3.96</v>
      </c>
      <c r="KV73" s="1">
        <v>2.75</v>
      </c>
      <c r="KW73" s="1">
        <v>2.56</v>
      </c>
      <c r="KX73" s="1">
        <v>3.76</v>
      </c>
      <c r="KY73" s="1">
        <v>4</v>
      </c>
      <c r="KZ73" s="1">
        <v>4.8</v>
      </c>
      <c r="LA73" s="1">
        <v>4.67</v>
      </c>
      <c r="LB73" s="1">
        <v>5.12</v>
      </c>
      <c r="LC73" s="1">
        <v>5.42</v>
      </c>
      <c r="LD73" s="1">
        <v>5.97</v>
      </c>
      <c r="LE73" s="1">
        <v>5.25</v>
      </c>
      <c r="LF73" s="1">
        <v>6.39</v>
      </c>
      <c r="LG73" s="1">
        <v>2.91</v>
      </c>
      <c r="LH73" s="1">
        <v>3.3000000000000003</v>
      </c>
      <c r="LI73" s="1">
        <v>4.3100000000000005</v>
      </c>
      <c r="LJ73" s="1">
        <v>3.25</v>
      </c>
      <c r="LK73" s="1">
        <v>3.7899999999999996</v>
      </c>
      <c r="LL73" s="1">
        <v>3.88</v>
      </c>
      <c r="LM73" s="1">
        <v>4.38</v>
      </c>
      <c r="LN73" s="1">
        <v>5.0999999999999996</v>
      </c>
      <c r="LO73" s="1">
        <v>5.9</v>
      </c>
      <c r="LP73" s="1">
        <v>5.3</v>
      </c>
      <c r="LQ73" s="1">
        <v>5.47</v>
      </c>
      <c r="LR73" s="1">
        <v>5.55</v>
      </c>
      <c r="LS73" s="1">
        <v>4.75</v>
      </c>
      <c r="LT73" s="1">
        <v>4.53</v>
      </c>
      <c r="LU73" s="1">
        <v>4.29</v>
      </c>
      <c r="LV73" s="1">
        <v>4.63</v>
      </c>
      <c r="LW73" s="1">
        <v>5.18</v>
      </c>
      <c r="LX73" s="1">
        <v>4.84</v>
      </c>
      <c r="LY73" s="1">
        <v>4.83</v>
      </c>
      <c r="LZ73" s="1">
        <v>5.47</v>
      </c>
      <c r="MA73" s="1">
        <v>5.73</v>
      </c>
      <c r="MB73" s="1">
        <v>6.34</v>
      </c>
      <c r="MC73" s="1">
        <v>5.73</v>
      </c>
      <c r="MD73" s="1">
        <v>4.79</v>
      </c>
      <c r="ME73" s="1">
        <v>2.4000000000000004</v>
      </c>
      <c r="MF73" s="1">
        <v>2.65</v>
      </c>
      <c r="MG73" s="1">
        <v>1.48</v>
      </c>
      <c r="MH73" s="1">
        <v>2.9</v>
      </c>
      <c r="MI73" s="1">
        <v>4.0999999999999996</v>
      </c>
      <c r="MJ73" s="1">
        <v>4</v>
      </c>
      <c r="MK73" s="1">
        <v>4.4000000000000004</v>
      </c>
      <c r="ML73" s="1">
        <v>4.8</v>
      </c>
      <c r="MM73" s="1">
        <v>5.0999999999999996</v>
      </c>
      <c r="MN73" s="1">
        <v>5.5</v>
      </c>
      <c r="MO73" s="1">
        <v>5.6</v>
      </c>
      <c r="MP73" s="1">
        <v>5.3</v>
      </c>
      <c r="MQ73" s="1">
        <v>4.5999999999999996</v>
      </c>
      <c r="MR73" s="1">
        <v>1.7999999999999998</v>
      </c>
      <c r="MS73" s="1">
        <v>1.65</v>
      </c>
      <c r="MT73">
        <v>4.42</v>
      </c>
      <c r="MU73">
        <v>2.9299999999999997</v>
      </c>
    </row>
    <row r="74" spans="1:359" ht="15.75" x14ac:dyDescent="0.25">
      <c r="A74" s="8" t="s">
        <v>0</v>
      </c>
      <c r="B74" s="39">
        <v>20517</v>
      </c>
      <c r="C74" s="39" t="s">
        <v>116</v>
      </c>
      <c r="D74" s="39" t="s">
        <v>130</v>
      </c>
      <c r="E74" s="39" t="s">
        <v>130</v>
      </c>
      <c r="F74" s="39" t="s">
        <v>67</v>
      </c>
      <c r="G74" s="39" t="s">
        <v>209</v>
      </c>
      <c r="H74" s="41">
        <v>18.25</v>
      </c>
      <c r="I74" s="39" t="s">
        <v>119</v>
      </c>
      <c r="J74" s="40">
        <v>33.823433333333334</v>
      </c>
      <c r="K74" s="39">
        <v>16.674930700000001</v>
      </c>
      <c r="L74" s="39">
        <v>80.396777099999994</v>
      </c>
      <c r="M74" s="1"/>
      <c r="N74" s="1"/>
      <c r="O74" s="1"/>
      <c r="P74" s="1"/>
      <c r="Q74" s="1"/>
      <c r="R74" s="1"/>
      <c r="S74" s="1"/>
      <c r="T74" s="1"/>
      <c r="U74" s="1">
        <v>3.2</v>
      </c>
      <c r="V74" s="1"/>
      <c r="W74" s="1"/>
      <c r="X74" s="1"/>
      <c r="Y74" s="1">
        <v>1.75</v>
      </c>
      <c r="Z74" s="1">
        <v>1.97</v>
      </c>
      <c r="AA74" s="1">
        <v>2</v>
      </c>
      <c r="AB74" s="1">
        <v>2.66</v>
      </c>
      <c r="AC74" s="1">
        <v>3.03</v>
      </c>
      <c r="AD74" s="1">
        <v>2.99</v>
      </c>
      <c r="AE74" s="1">
        <v>2.96</v>
      </c>
      <c r="AF74" s="1">
        <v>1.33</v>
      </c>
      <c r="AG74" s="1">
        <v>1.18</v>
      </c>
      <c r="AH74" s="1">
        <v>1</v>
      </c>
      <c r="AI74" s="1">
        <v>0.34</v>
      </c>
      <c r="AJ74" s="1">
        <v>0.88</v>
      </c>
      <c r="AK74" s="1">
        <v>1.28</v>
      </c>
      <c r="AL74" s="1">
        <v>1.79</v>
      </c>
      <c r="AM74" s="1">
        <v>2.15</v>
      </c>
      <c r="AN74" s="1">
        <v>2.44</v>
      </c>
      <c r="AO74" s="1">
        <v>2.9</v>
      </c>
      <c r="AP74" s="1">
        <v>2.77</v>
      </c>
      <c r="AQ74" s="1">
        <v>2.72</v>
      </c>
      <c r="AR74" s="1">
        <v>2.1</v>
      </c>
      <c r="AS74" s="1">
        <v>1.66</v>
      </c>
      <c r="AT74" s="1">
        <v>1.56</v>
      </c>
      <c r="AU74" s="1">
        <v>1.1000000000000001</v>
      </c>
      <c r="AV74" s="1">
        <v>2.2000000000000002</v>
      </c>
      <c r="AW74" s="1">
        <v>1.7</v>
      </c>
      <c r="AX74" s="1">
        <v>2</v>
      </c>
      <c r="AY74" s="1">
        <v>2.2999999999999998</v>
      </c>
      <c r="AZ74" s="1">
        <v>2.66</v>
      </c>
      <c r="BA74" s="1">
        <v>2.92</v>
      </c>
      <c r="BB74" s="1">
        <v>2.67</v>
      </c>
      <c r="BC74" s="1">
        <v>2.1800000000000002</v>
      </c>
      <c r="BD74" s="1">
        <v>1.19</v>
      </c>
      <c r="BE74" s="1">
        <v>1.34</v>
      </c>
      <c r="BF74" s="1">
        <v>2.0699999999999998</v>
      </c>
      <c r="BG74" s="1">
        <v>2.4700000000000002</v>
      </c>
      <c r="BH74" s="1">
        <v>2.61</v>
      </c>
      <c r="BI74" s="1">
        <v>2.68</v>
      </c>
      <c r="BJ74" s="1">
        <v>2.57</v>
      </c>
      <c r="BK74" s="1">
        <v>2.72</v>
      </c>
      <c r="BL74" s="1">
        <v>2.89</v>
      </c>
      <c r="BM74" s="1">
        <v>3.12</v>
      </c>
      <c r="BN74" s="1">
        <v>3.26</v>
      </c>
      <c r="BO74" s="1">
        <v>3.34</v>
      </c>
      <c r="BP74" s="1">
        <v>2.59</v>
      </c>
      <c r="BQ74" s="1">
        <v>2.31</v>
      </c>
      <c r="BR74" s="1">
        <v>1.1299999999999999</v>
      </c>
      <c r="BS74" s="1">
        <v>2.21</v>
      </c>
      <c r="BT74" s="1">
        <v>1.97</v>
      </c>
      <c r="BU74" s="1">
        <v>2.65</v>
      </c>
      <c r="BV74" s="1">
        <v>2.81</v>
      </c>
      <c r="BW74" s="1">
        <v>2.08</v>
      </c>
      <c r="BX74" s="1">
        <v>3.01</v>
      </c>
      <c r="BY74" s="1">
        <v>3.48</v>
      </c>
      <c r="BZ74" s="1">
        <v>2.92</v>
      </c>
      <c r="CA74" s="1">
        <v>3.65</v>
      </c>
      <c r="CB74" s="1">
        <v>3.01</v>
      </c>
      <c r="CC74" s="1">
        <v>3</v>
      </c>
      <c r="CD74" s="1">
        <v>3</v>
      </c>
      <c r="CE74" s="1">
        <v>3.25</v>
      </c>
      <c r="CF74" s="1">
        <v>3.46</v>
      </c>
      <c r="CG74" s="1">
        <v>3.68</v>
      </c>
      <c r="CH74" s="1">
        <v>3.86</v>
      </c>
      <c r="CI74" s="1">
        <v>3.72</v>
      </c>
      <c r="CJ74" s="1">
        <v>3.94</v>
      </c>
      <c r="CK74" s="1">
        <v>4.4400000000000004</v>
      </c>
      <c r="CL74" s="1">
        <v>4.4000000000000004</v>
      </c>
      <c r="CM74" s="1">
        <v>4.07</v>
      </c>
      <c r="CN74" s="1">
        <v>2.92</v>
      </c>
      <c r="CO74" s="1">
        <v>3.05</v>
      </c>
      <c r="CP74" s="1">
        <v>2.75</v>
      </c>
      <c r="CQ74" s="1">
        <v>2.88</v>
      </c>
      <c r="CR74" s="1">
        <v>3.07</v>
      </c>
      <c r="CS74" s="1">
        <v>3.05</v>
      </c>
      <c r="CT74" s="1">
        <v>3.31</v>
      </c>
      <c r="CU74" s="1">
        <v>3.45</v>
      </c>
      <c r="CV74" s="1">
        <v>3.78</v>
      </c>
      <c r="CW74" s="1">
        <v>3.95</v>
      </c>
      <c r="CX74" s="1">
        <v>4.0999999999999996</v>
      </c>
      <c r="CY74" s="1">
        <v>3.87</v>
      </c>
      <c r="CZ74" s="1">
        <v>3.08</v>
      </c>
      <c r="DA74" s="1">
        <v>3.24</v>
      </c>
      <c r="DB74" s="1">
        <v>2.6</v>
      </c>
      <c r="DC74" s="1">
        <v>2.97</v>
      </c>
      <c r="DD74" s="1">
        <v>3.21</v>
      </c>
      <c r="DE74" s="1">
        <v>3.45</v>
      </c>
      <c r="DF74" s="1">
        <v>3.65</v>
      </c>
      <c r="DG74" s="1">
        <v>3.65</v>
      </c>
      <c r="DH74" s="1">
        <v>4.1100000000000003</v>
      </c>
      <c r="DI74" s="1">
        <v>4.2</v>
      </c>
      <c r="DJ74" s="1">
        <v>4.0999999999999996</v>
      </c>
      <c r="DK74" s="1">
        <v>3.99</v>
      </c>
      <c r="DL74" s="1">
        <v>3.59</v>
      </c>
      <c r="DM74" s="1">
        <v>2.83</v>
      </c>
      <c r="DN74" s="1">
        <v>2.29</v>
      </c>
      <c r="DO74" s="1">
        <v>2.1</v>
      </c>
      <c r="DP74" s="1">
        <v>2.4500000000000002</v>
      </c>
      <c r="DQ74" s="1">
        <v>2.7</v>
      </c>
      <c r="DR74" s="1">
        <v>2.84</v>
      </c>
      <c r="DS74" s="1">
        <v>2.96</v>
      </c>
      <c r="DT74" s="1">
        <v>3.03</v>
      </c>
      <c r="DU74" s="1">
        <v>3.14</v>
      </c>
      <c r="DV74" s="1">
        <v>3.27</v>
      </c>
      <c r="DW74" s="1">
        <v>3.4</v>
      </c>
      <c r="DX74" s="1">
        <v>3.48</v>
      </c>
      <c r="DY74" s="1">
        <v>3</v>
      </c>
      <c r="DZ74" s="1">
        <v>2.79</v>
      </c>
      <c r="EA74" s="1">
        <v>2.5499999999999998</v>
      </c>
      <c r="EB74" s="1">
        <v>3</v>
      </c>
      <c r="EC74" s="1">
        <v>3.01</v>
      </c>
      <c r="ED74" s="1">
        <v>3.15</v>
      </c>
      <c r="EE74" s="1">
        <v>3.29</v>
      </c>
      <c r="EF74" s="1">
        <v>3.55</v>
      </c>
      <c r="EG74" s="1">
        <v>3.56</v>
      </c>
      <c r="EH74" s="1">
        <v>3.76</v>
      </c>
      <c r="EI74" s="1">
        <v>3.42</v>
      </c>
      <c r="EJ74" s="1">
        <v>3.17</v>
      </c>
      <c r="EK74" s="1">
        <v>3.16</v>
      </c>
      <c r="EL74" s="1">
        <v>1.89</v>
      </c>
      <c r="EM74" s="1">
        <v>2.1800000000000002</v>
      </c>
      <c r="EN74" s="1">
        <v>2.48</v>
      </c>
      <c r="EO74" s="1">
        <v>3.71</v>
      </c>
      <c r="EP74" s="1">
        <v>2.69</v>
      </c>
      <c r="EQ74" s="1">
        <v>2.76</v>
      </c>
      <c r="ER74" s="1">
        <v>2.62</v>
      </c>
      <c r="ES74" s="1">
        <v>2.88</v>
      </c>
      <c r="ET74" s="1">
        <v>2.86</v>
      </c>
      <c r="EU74" s="1">
        <v>2.4500000000000002</v>
      </c>
      <c r="EV74" s="1">
        <v>1.82</v>
      </c>
      <c r="EW74" s="1">
        <v>1.49</v>
      </c>
      <c r="EX74" s="1">
        <v>2.0499999999999998</v>
      </c>
      <c r="EY74" s="1">
        <v>2.25</v>
      </c>
      <c r="EZ74" s="1">
        <v>2.5</v>
      </c>
      <c r="FA74" s="1">
        <v>2.63</v>
      </c>
      <c r="FB74" s="1">
        <v>2.9</v>
      </c>
      <c r="FC74" s="1">
        <v>3.1</v>
      </c>
      <c r="FD74" s="1">
        <v>2.92</v>
      </c>
      <c r="FE74" s="1">
        <v>3.09</v>
      </c>
      <c r="FF74" s="1">
        <v>3.35</v>
      </c>
      <c r="FG74" s="1">
        <v>3.54</v>
      </c>
      <c r="FH74" s="1">
        <v>3.65</v>
      </c>
      <c r="FI74" s="1">
        <v>3.45</v>
      </c>
      <c r="FJ74" s="1">
        <v>2.9</v>
      </c>
      <c r="FK74" s="1">
        <v>3.03</v>
      </c>
      <c r="FL74" s="1">
        <v>3.1</v>
      </c>
      <c r="FM74" s="1">
        <v>3.4</v>
      </c>
      <c r="FN74" s="1">
        <v>3.65</v>
      </c>
      <c r="FO74" s="1">
        <v>3.79</v>
      </c>
      <c r="FP74" s="1">
        <v>4.1900000000000004</v>
      </c>
      <c r="FQ74" s="1">
        <v>4.18</v>
      </c>
      <c r="FR74" s="1">
        <v>4.49</v>
      </c>
      <c r="FS74" s="1">
        <v>4.18</v>
      </c>
      <c r="FT74" s="1">
        <v>3.02</v>
      </c>
      <c r="FU74" s="1">
        <v>2.25</v>
      </c>
      <c r="FV74" s="1">
        <v>2.08</v>
      </c>
      <c r="FW74" s="1">
        <v>2.0499999999999998</v>
      </c>
      <c r="FX74" s="1">
        <v>2.09</v>
      </c>
      <c r="FY74" s="1">
        <v>2.4500000000000002</v>
      </c>
      <c r="FZ74" s="1">
        <v>2.61</v>
      </c>
      <c r="GA74" s="1">
        <v>2.92</v>
      </c>
      <c r="GB74" s="1">
        <v>3.18</v>
      </c>
      <c r="GC74" s="1">
        <v>3.37</v>
      </c>
      <c r="GD74" s="1">
        <v>3.63</v>
      </c>
      <c r="GE74" s="1">
        <v>3.62</v>
      </c>
      <c r="GF74" s="1">
        <v>3.59</v>
      </c>
      <c r="GG74" s="1">
        <v>3.21</v>
      </c>
      <c r="GH74" s="1">
        <v>3.3</v>
      </c>
      <c r="GI74" s="1">
        <v>3.45</v>
      </c>
      <c r="GJ74" s="1">
        <v>3.58</v>
      </c>
      <c r="GK74" s="1">
        <v>3.45</v>
      </c>
      <c r="GL74" s="1">
        <v>3.75</v>
      </c>
      <c r="GM74" s="1">
        <v>3.87</v>
      </c>
      <c r="GN74" s="1">
        <v>3.96</v>
      </c>
      <c r="GO74" s="1">
        <v>4.13</v>
      </c>
      <c r="GP74" s="1">
        <v>4.3</v>
      </c>
      <c r="GQ74" s="1">
        <v>3.7</v>
      </c>
      <c r="GR74" s="1">
        <v>3.02</v>
      </c>
      <c r="GS74" s="1">
        <v>2.92</v>
      </c>
      <c r="GT74" s="1">
        <v>2.73</v>
      </c>
      <c r="GU74" s="1">
        <v>2.61</v>
      </c>
      <c r="GV74" s="1">
        <v>2.96</v>
      </c>
      <c r="GW74" s="1">
        <v>3.41</v>
      </c>
      <c r="GX74" s="1">
        <v>3.31</v>
      </c>
      <c r="GY74" s="1">
        <v>3.28</v>
      </c>
      <c r="GZ74" s="1">
        <v>3.45</v>
      </c>
      <c r="HA74" s="1">
        <v>3.57</v>
      </c>
      <c r="HB74" s="1">
        <v>3.39</v>
      </c>
      <c r="HC74" s="1">
        <v>3.1</v>
      </c>
      <c r="HD74" s="1">
        <v>2.57</v>
      </c>
      <c r="HE74" s="1">
        <v>2.0699999999999998</v>
      </c>
      <c r="HF74" s="1">
        <v>1.54</v>
      </c>
      <c r="HG74" s="1">
        <v>1.98</v>
      </c>
      <c r="HH74" s="1">
        <v>2.2400000000000002</v>
      </c>
      <c r="HI74" s="1">
        <v>2.4500000000000002</v>
      </c>
      <c r="HJ74" s="1">
        <v>2.57</v>
      </c>
      <c r="HK74" s="1">
        <v>2.61</v>
      </c>
      <c r="HL74" s="1">
        <v>2.81</v>
      </c>
      <c r="HM74" s="1">
        <v>2.88</v>
      </c>
      <c r="HN74" s="1">
        <v>3.01</v>
      </c>
      <c r="HO74" s="1">
        <v>2.85</v>
      </c>
      <c r="HP74" s="1">
        <v>2.65</v>
      </c>
      <c r="HQ74" s="1">
        <v>2.15</v>
      </c>
      <c r="HR74" s="1">
        <v>2.4</v>
      </c>
      <c r="HS74" s="1">
        <v>2.27</v>
      </c>
      <c r="HT74" s="1">
        <v>2.4500000000000002</v>
      </c>
      <c r="HU74" s="1">
        <v>2.65</v>
      </c>
      <c r="HV74" s="1">
        <v>2.75</v>
      </c>
      <c r="HW74" s="1">
        <v>2.9</v>
      </c>
      <c r="HX74" s="1">
        <v>2.97</v>
      </c>
      <c r="HY74" s="1">
        <v>3.13</v>
      </c>
      <c r="HZ74" s="1">
        <v>2.8</v>
      </c>
      <c r="IA74" s="1">
        <v>2.59</v>
      </c>
      <c r="IB74" s="1">
        <v>2.17</v>
      </c>
      <c r="IC74" s="1">
        <v>1.98</v>
      </c>
      <c r="ID74" s="1">
        <v>2</v>
      </c>
      <c r="IE74" s="1">
        <v>2.34</v>
      </c>
      <c r="IF74" s="1">
        <v>2.5</v>
      </c>
      <c r="IG74" s="1">
        <v>2.52</v>
      </c>
      <c r="IH74" s="1">
        <v>2.71</v>
      </c>
      <c r="II74" s="1">
        <v>2.8</v>
      </c>
      <c r="IJ74" s="1">
        <v>3.07</v>
      </c>
      <c r="IK74" s="1">
        <v>3.1</v>
      </c>
      <c r="IL74" s="1">
        <v>2.84</v>
      </c>
      <c r="IM74" s="1">
        <v>2.64</v>
      </c>
      <c r="IN74" s="1">
        <v>2.06</v>
      </c>
      <c r="IO74" s="1">
        <v>1.46</v>
      </c>
      <c r="IP74" s="1">
        <v>1.41</v>
      </c>
      <c r="IQ74" s="1">
        <v>1.84</v>
      </c>
      <c r="IR74" s="1">
        <v>2.06</v>
      </c>
      <c r="IS74" s="1">
        <v>2.23</v>
      </c>
      <c r="IT74" s="1">
        <v>2.36</v>
      </c>
      <c r="IU74" s="1">
        <v>2.5099999999999998</v>
      </c>
      <c r="IV74" s="1">
        <v>2.69</v>
      </c>
      <c r="IW74" s="1">
        <v>2.72</v>
      </c>
      <c r="IX74" s="1">
        <v>2.46</v>
      </c>
      <c r="IY74" s="1">
        <v>2.25</v>
      </c>
      <c r="IZ74" s="1">
        <v>1.74</v>
      </c>
      <c r="JA74" s="1">
        <v>1.21</v>
      </c>
      <c r="JB74" s="1">
        <v>1.34</v>
      </c>
      <c r="JC74" s="1">
        <v>1.89</v>
      </c>
      <c r="JD74" s="1">
        <v>2.13</v>
      </c>
      <c r="JE74" s="1">
        <v>2.25</v>
      </c>
      <c r="JF74" s="1">
        <v>2.4</v>
      </c>
      <c r="JG74" s="1">
        <v>2.44</v>
      </c>
      <c r="JH74" s="1">
        <v>2.5</v>
      </c>
      <c r="JI74" s="1">
        <v>2.65</v>
      </c>
      <c r="JJ74" s="1">
        <v>2.5099999999999998</v>
      </c>
      <c r="JK74" s="1">
        <v>2.2000000000000002</v>
      </c>
      <c r="JL74" s="1">
        <v>0.56999999999999995</v>
      </c>
      <c r="JM74" s="1">
        <v>1.67</v>
      </c>
      <c r="JN74" s="1">
        <v>1.64</v>
      </c>
      <c r="JO74" s="1">
        <v>1.97</v>
      </c>
      <c r="JP74" s="1">
        <v>1.94</v>
      </c>
      <c r="JQ74" s="1">
        <v>2.0099999999999998</v>
      </c>
      <c r="JR74" s="1">
        <v>2.06</v>
      </c>
      <c r="JS74" s="1">
        <v>2.36</v>
      </c>
      <c r="JT74" s="1">
        <v>2.4700000000000002</v>
      </c>
      <c r="JU74" s="1">
        <v>2.57</v>
      </c>
      <c r="JV74" s="1">
        <v>2.71</v>
      </c>
      <c r="JW74" s="1">
        <v>2.63</v>
      </c>
      <c r="JX74" s="1">
        <v>2.2400000000000002</v>
      </c>
      <c r="JY74" s="1">
        <v>1.91</v>
      </c>
      <c r="JZ74" s="1">
        <v>1.59</v>
      </c>
      <c r="KA74" s="1">
        <v>1.82</v>
      </c>
      <c r="KB74" s="1">
        <v>1.95</v>
      </c>
      <c r="KC74" s="1">
        <v>2.19</v>
      </c>
      <c r="KD74" s="1">
        <v>2.25</v>
      </c>
      <c r="KE74" s="1"/>
      <c r="KF74" s="1"/>
      <c r="KG74" s="1">
        <v>2.46</v>
      </c>
      <c r="KH74" s="1">
        <v>2.36</v>
      </c>
      <c r="KI74" s="1">
        <v>1.43</v>
      </c>
      <c r="KJ74" s="1">
        <v>1.47</v>
      </c>
      <c r="KK74" s="1">
        <v>1.37</v>
      </c>
      <c r="KL74" s="1">
        <v>0.78</v>
      </c>
      <c r="KM74" s="1">
        <v>1.27</v>
      </c>
      <c r="KN74" s="1">
        <v>0.52</v>
      </c>
      <c r="KO74" s="1">
        <v>0.92</v>
      </c>
      <c r="KP74" s="1">
        <v>1.72</v>
      </c>
      <c r="KQ74" s="1">
        <v>1.98</v>
      </c>
      <c r="KR74" s="1">
        <v>2.14</v>
      </c>
      <c r="KS74" s="1">
        <v>2.2000000000000002</v>
      </c>
      <c r="KT74" s="1">
        <v>2.09</v>
      </c>
      <c r="KU74" s="1">
        <v>1.75</v>
      </c>
      <c r="KV74" s="1">
        <v>1</v>
      </c>
      <c r="KW74" s="1">
        <v>1.22</v>
      </c>
      <c r="KX74" s="1">
        <v>1.25</v>
      </c>
      <c r="KY74" s="1">
        <v>1.46</v>
      </c>
      <c r="KZ74" s="1">
        <v>1.67</v>
      </c>
      <c r="LA74" s="1">
        <v>1.78</v>
      </c>
      <c r="LB74" s="1">
        <v>1.92</v>
      </c>
      <c r="LC74" s="1">
        <v>1.71</v>
      </c>
      <c r="LD74" s="1">
        <v>1.88</v>
      </c>
      <c r="LE74" s="1">
        <v>1.97</v>
      </c>
      <c r="LF74" s="1">
        <v>2.02</v>
      </c>
      <c r="LG74" s="1">
        <v>1.1900000000000002</v>
      </c>
      <c r="LH74" s="1">
        <v>1.1399999999999999</v>
      </c>
      <c r="LI74" s="1">
        <v>1.61</v>
      </c>
      <c r="LJ74" s="1">
        <v>1.07</v>
      </c>
      <c r="LK74" s="1">
        <v>1.3099999999999998</v>
      </c>
      <c r="LL74" s="1">
        <v>1.6700000000000002</v>
      </c>
      <c r="LM74" s="1">
        <v>1.7700000000000002</v>
      </c>
      <c r="LN74" s="1">
        <v>1.9200000000000002</v>
      </c>
      <c r="LO74" s="1">
        <v>2.04</v>
      </c>
      <c r="LP74" s="1">
        <v>2.25</v>
      </c>
      <c r="LQ74" s="1">
        <v>2.1900000000000004</v>
      </c>
      <c r="LR74" s="1">
        <v>3.65</v>
      </c>
      <c r="LS74" s="1">
        <v>2.0200000000000005</v>
      </c>
      <c r="LT74" s="1">
        <v>1.8</v>
      </c>
      <c r="LU74" s="1">
        <v>1.6199999999999999</v>
      </c>
      <c r="LV74" s="1">
        <v>1.4200000000000002</v>
      </c>
      <c r="LW74" s="1">
        <v>2.08</v>
      </c>
      <c r="LX74" s="1">
        <v>1.84</v>
      </c>
      <c r="LY74" s="1">
        <v>1.97</v>
      </c>
      <c r="LZ74" s="1">
        <v>2.21</v>
      </c>
      <c r="MA74" s="1">
        <v>2.42</v>
      </c>
      <c r="MB74" s="1">
        <v>2.74</v>
      </c>
      <c r="MC74" s="1">
        <v>2.7800000000000002</v>
      </c>
      <c r="MD74" s="1">
        <v>2.71</v>
      </c>
      <c r="ME74" s="1">
        <v>1.6699999999999997</v>
      </c>
      <c r="MF74" s="1">
        <v>1.5999999999999999</v>
      </c>
      <c r="MG74" s="1">
        <v>1.8599999999999999</v>
      </c>
      <c r="MH74" s="1">
        <v>1.07</v>
      </c>
      <c r="MI74" s="1">
        <v>1.07</v>
      </c>
      <c r="MJ74" s="1">
        <v>2.0700000000000003</v>
      </c>
      <c r="MK74" s="1">
        <v>2.2700000000000005</v>
      </c>
      <c r="ML74" s="1">
        <v>2.2700000000000005</v>
      </c>
      <c r="MM74" s="1">
        <v>2.4700000000000006</v>
      </c>
      <c r="MN74" s="1">
        <v>2.4700000000000006</v>
      </c>
      <c r="MO74" s="1">
        <v>2.91</v>
      </c>
      <c r="MP74" s="1">
        <v>2.17</v>
      </c>
      <c r="MQ74" s="1">
        <v>2.17</v>
      </c>
      <c r="MR74" s="1">
        <v>1.3699999999999999</v>
      </c>
      <c r="MS74" s="1">
        <v>1.1700000000000002</v>
      </c>
      <c r="MT74">
        <v>4.63</v>
      </c>
      <c r="MU74">
        <v>3.9000000000000004</v>
      </c>
    </row>
    <row r="75" spans="1:359" ht="15.75" x14ac:dyDescent="0.25">
      <c r="A75" s="8" t="s">
        <v>0</v>
      </c>
      <c r="B75" s="39">
        <v>20509</v>
      </c>
      <c r="C75" s="39" t="s">
        <v>116</v>
      </c>
      <c r="D75" s="39" t="s">
        <v>131</v>
      </c>
      <c r="E75" s="39" t="s">
        <v>132</v>
      </c>
      <c r="F75" s="39" t="s">
        <v>133</v>
      </c>
      <c r="G75" s="39" t="s">
        <v>209</v>
      </c>
      <c r="H75" s="41">
        <v>30.48</v>
      </c>
      <c r="I75" s="39" t="s">
        <v>124</v>
      </c>
      <c r="J75" s="40">
        <v>36.450725000000006</v>
      </c>
      <c r="K75" s="39">
        <v>16.609504999999999</v>
      </c>
      <c r="L75" s="39">
        <v>80.536035999999996</v>
      </c>
      <c r="M75" s="1"/>
      <c r="N75" s="1"/>
      <c r="O75" s="1"/>
      <c r="P75" s="1"/>
      <c r="Q75" s="1"/>
      <c r="R75" s="1"/>
      <c r="S75" s="1"/>
      <c r="T75" s="1">
        <v>1.44</v>
      </c>
      <c r="U75" s="1"/>
      <c r="V75" s="1"/>
      <c r="W75" s="1"/>
      <c r="X75" s="1"/>
      <c r="Y75" s="1">
        <v>2.6</v>
      </c>
      <c r="Z75" s="1">
        <v>3</v>
      </c>
      <c r="AA75" s="1">
        <v>3.39</v>
      </c>
      <c r="AB75" s="1">
        <v>4.32</v>
      </c>
      <c r="AC75" s="1">
        <v>5.75</v>
      </c>
      <c r="AD75" s="1">
        <v>5</v>
      </c>
      <c r="AE75" s="1">
        <v>4.7699999999999996</v>
      </c>
      <c r="AF75" s="1">
        <v>3.33</v>
      </c>
      <c r="AG75" s="1">
        <v>3.27</v>
      </c>
      <c r="AH75" s="1">
        <v>4</v>
      </c>
      <c r="AI75" s="1">
        <v>4.47</v>
      </c>
      <c r="AJ75" s="1">
        <v>4.9000000000000004</v>
      </c>
      <c r="AK75" s="1">
        <v>5.01</v>
      </c>
      <c r="AL75" s="1">
        <v>4.71</v>
      </c>
      <c r="AM75" s="1">
        <v>4.5</v>
      </c>
      <c r="AN75" s="1">
        <v>4.4000000000000004</v>
      </c>
      <c r="AO75" s="1">
        <v>4.33</v>
      </c>
      <c r="AP75" s="1">
        <v>4.43</v>
      </c>
      <c r="AQ75" s="1">
        <v>4.58</v>
      </c>
      <c r="AR75" s="1">
        <v>4.1399999999999997</v>
      </c>
      <c r="AS75" s="1">
        <v>2.92</v>
      </c>
      <c r="AT75" s="1">
        <v>2.91</v>
      </c>
      <c r="AU75" s="1">
        <v>2.0699999999999998</v>
      </c>
      <c r="AV75" s="1">
        <v>3.98</v>
      </c>
      <c r="AW75" s="1">
        <v>3.04</v>
      </c>
      <c r="AX75" s="1">
        <v>4</v>
      </c>
      <c r="AY75" s="1">
        <v>4.5</v>
      </c>
      <c r="AZ75" s="1">
        <v>4.9000000000000004</v>
      </c>
      <c r="BA75" s="1">
        <v>5.85</v>
      </c>
      <c r="BB75" s="1">
        <v>5.4</v>
      </c>
      <c r="BC75" s="1">
        <v>4.82</v>
      </c>
      <c r="BD75" s="1">
        <v>2.35</v>
      </c>
      <c r="BE75" s="1">
        <v>2.83</v>
      </c>
      <c r="BF75" s="1">
        <v>3.64</v>
      </c>
      <c r="BG75" s="1">
        <v>3.92</v>
      </c>
      <c r="BH75" s="1">
        <v>4.4000000000000004</v>
      </c>
      <c r="BI75" s="1">
        <v>4.78</v>
      </c>
      <c r="BJ75" s="1">
        <v>4.58</v>
      </c>
      <c r="BK75" s="1">
        <v>5.07</v>
      </c>
      <c r="BL75" s="1">
        <v>5.49</v>
      </c>
      <c r="BM75" s="1">
        <v>5.86</v>
      </c>
      <c r="BN75" s="1">
        <v>5.62</v>
      </c>
      <c r="BO75" s="1">
        <v>6.03</v>
      </c>
      <c r="BP75" s="1">
        <v>5.16</v>
      </c>
      <c r="BQ75" s="1">
        <v>4.37</v>
      </c>
      <c r="BR75" s="1">
        <v>2.1</v>
      </c>
      <c r="BS75" s="1">
        <v>2.64</v>
      </c>
      <c r="BT75" s="1">
        <v>3.06</v>
      </c>
      <c r="BU75" s="1">
        <v>3.54</v>
      </c>
      <c r="BV75" s="1">
        <v>3.85</v>
      </c>
      <c r="BW75" s="1">
        <v>4.0199999999999996</v>
      </c>
      <c r="BX75" s="1">
        <v>4.43</v>
      </c>
      <c r="BY75" s="1">
        <v>4.96</v>
      </c>
      <c r="BZ75" s="1">
        <v>5.12</v>
      </c>
      <c r="CA75" s="1">
        <v>5.49</v>
      </c>
      <c r="CB75" s="1">
        <v>4.46</v>
      </c>
      <c r="CC75" s="1">
        <v>5.21</v>
      </c>
      <c r="CD75" s="1">
        <v>4.63</v>
      </c>
      <c r="CE75" s="1">
        <v>4.8099999999999996</v>
      </c>
      <c r="CF75" s="1">
        <v>5.16</v>
      </c>
      <c r="CG75" s="1">
        <v>5.53</v>
      </c>
      <c r="CH75" s="1">
        <v>5.84</v>
      </c>
      <c r="CI75" s="1">
        <v>5.51</v>
      </c>
      <c r="CJ75" s="1">
        <v>5.94</v>
      </c>
      <c r="CK75" s="1">
        <v>6.79</v>
      </c>
      <c r="CL75" s="1">
        <v>6.44</v>
      </c>
      <c r="CM75" s="1">
        <v>5.08</v>
      </c>
      <c r="CN75" s="1">
        <v>3.66</v>
      </c>
      <c r="CO75" s="1">
        <v>3.91</v>
      </c>
      <c r="CP75" s="1">
        <v>3.28</v>
      </c>
      <c r="CQ75" s="1">
        <v>3.61</v>
      </c>
      <c r="CR75" s="1">
        <v>3.61</v>
      </c>
      <c r="CS75" s="1">
        <v>3.79</v>
      </c>
      <c r="CT75" s="1">
        <v>4.1500000000000004</v>
      </c>
      <c r="CU75" s="1">
        <v>4.46</v>
      </c>
      <c r="CV75" s="1">
        <v>4.84</v>
      </c>
      <c r="CW75" s="1">
        <v>5.16</v>
      </c>
      <c r="CX75" s="1">
        <v>5.3</v>
      </c>
      <c r="CY75" s="1">
        <v>5.03</v>
      </c>
      <c r="CZ75" s="1">
        <v>3.85</v>
      </c>
      <c r="DA75" s="1">
        <v>3.94</v>
      </c>
      <c r="DB75" s="1">
        <v>3.17</v>
      </c>
      <c r="DC75" s="1">
        <v>3.78</v>
      </c>
      <c r="DD75" s="1">
        <v>4.16</v>
      </c>
      <c r="DE75" s="1">
        <v>4.5599999999999996</v>
      </c>
      <c r="DF75" s="1">
        <v>4.87</v>
      </c>
      <c r="DG75" s="1">
        <v>4.8</v>
      </c>
      <c r="DH75" s="1">
        <v>5.72</v>
      </c>
      <c r="DI75" s="1">
        <v>5.38</v>
      </c>
      <c r="DJ75" s="1">
        <v>5.13</v>
      </c>
      <c r="DK75" s="1">
        <v>5</v>
      </c>
      <c r="DL75" s="1">
        <v>4.2</v>
      </c>
      <c r="DM75" s="1">
        <v>1.93</v>
      </c>
      <c r="DN75" s="1">
        <v>1.6</v>
      </c>
      <c r="DO75" s="1">
        <v>1.54</v>
      </c>
      <c r="DP75" s="1">
        <v>1.96</v>
      </c>
      <c r="DQ75" s="1">
        <v>2.48</v>
      </c>
      <c r="DR75" s="1">
        <v>2.75</v>
      </c>
      <c r="DS75" s="1">
        <v>2.93</v>
      </c>
      <c r="DT75" s="1">
        <v>3.25</v>
      </c>
      <c r="DU75" s="1">
        <v>3.52</v>
      </c>
      <c r="DV75" s="1">
        <v>3.56</v>
      </c>
      <c r="DW75" s="1">
        <v>3.25</v>
      </c>
      <c r="DX75" s="1">
        <v>3.03</v>
      </c>
      <c r="DY75" s="1">
        <v>2.97</v>
      </c>
      <c r="DZ75" s="1">
        <v>2.58</v>
      </c>
      <c r="EA75" s="1">
        <v>2.37</v>
      </c>
      <c r="EB75" s="1">
        <v>2.44</v>
      </c>
      <c r="EC75" s="1">
        <v>2.57</v>
      </c>
      <c r="ED75" s="1">
        <v>2.99</v>
      </c>
      <c r="EE75" s="1">
        <v>3.19</v>
      </c>
      <c r="EF75" s="1">
        <v>3.7</v>
      </c>
      <c r="EG75" s="1">
        <v>3.87</v>
      </c>
      <c r="EH75" s="1">
        <v>4.03</v>
      </c>
      <c r="EI75" s="1">
        <v>3.75</v>
      </c>
      <c r="EJ75" s="1">
        <v>3.23</v>
      </c>
      <c r="EK75" s="1">
        <v>2.1</v>
      </c>
      <c r="EL75" s="1">
        <v>2.0099999999999998</v>
      </c>
      <c r="EM75" s="1">
        <v>2.4500000000000002</v>
      </c>
      <c r="EN75" s="1">
        <v>3.4</v>
      </c>
      <c r="EO75" s="1">
        <v>3.41</v>
      </c>
      <c r="EP75" s="1">
        <v>3</v>
      </c>
      <c r="EQ75" s="1">
        <v>3.05</v>
      </c>
      <c r="ER75" s="1">
        <v>3.66</v>
      </c>
      <c r="ES75" s="1">
        <v>4.01</v>
      </c>
      <c r="ET75" s="1">
        <v>4.18</v>
      </c>
      <c r="EU75" s="1">
        <v>4.17</v>
      </c>
      <c r="EV75" s="1">
        <v>0.8</v>
      </c>
      <c r="EW75" s="1">
        <v>0.61</v>
      </c>
      <c r="EX75" s="1">
        <v>1.18</v>
      </c>
      <c r="EY75" s="1">
        <v>1.44</v>
      </c>
      <c r="EZ75" s="1">
        <v>1.69</v>
      </c>
      <c r="FA75" s="1">
        <v>0.96</v>
      </c>
      <c r="FB75" s="1">
        <v>2.2000000000000002</v>
      </c>
      <c r="FC75" s="1">
        <v>2.44</v>
      </c>
      <c r="FD75" s="1">
        <v>2.74</v>
      </c>
      <c r="FE75" s="1">
        <v>2.87</v>
      </c>
      <c r="FF75" s="1">
        <v>3.28</v>
      </c>
      <c r="FG75" s="1">
        <v>3.31</v>
      </c>
      <c r="FH75" s="1">
        <v>3.2</v>
      </c>
      <c r="FI75" s="1">
        <v>2.89</v>
      </c>
      <c r="FJ75" s="1">
        <v>2.38</v>
      </c>
      <c r="FK75" s="1">
        <v>2.59</v>
      </c>
      <c r="FL75" s="1">
        <v>2.86</v>
      </c>
      <c r="FM75" s="1">
        <v>3.08</v>
      </c>
      <c r="FN75" s="1">
        <v>3.35</v>
      </c>
      <c r="FO75" s="1">
        <v>3.58</v>
      </c>
      <c r="FP75" s="1">
        <v>3.89</v>
      </c>
      <c r="FQ75" s="1">
        <v>3.76</v>
      </c>
      <c r="FR75" s="1">
        <v>3.81</v>
      </c>
      <c r="FS75" s="1">
        <v>3.24</v>
      </c>
      <c r="FT75" s="1">
        <v>2.08</v>
      </c>
      <c r="FU75" s="1">
        <v>0.66</v>
      </c>
      <c r="FV75" s="1">
        <v>0.59</v>
      </c>
      <c r="FW75" s="1">
        <v>0.86</v>
      </c>
      <c r="FX75" s="1">
        <v>0.96</v>
      </c>
      <c r="FY75" s="1">
        <v>1.35</v>
      </c>
      <c r="FZ75" s="1">
        <v>1.41</v>
      </c>
      <c r="GA75" s="1">
        <v>1.51</v>
      </c>
      <c r="GB75" s="1">
        <v>1.75</v>
      </c>
      <c r="GC75" s="1">
        <v>2.16</v>
      </c>
      <c r="GD75" s="1">
        <v>2.41</v>
      </c>
      <c r="GE75" s="1">
        <v>2.04</v>
      </c>
      <c r="GF75" s="1">
        <v>1.54</v>
      </c>
      <c r="GG75" s="1">
        <v>0.96</v>
      </c>
      <c r="GH75" s="1">
        <v>1.46</v>
      </c>
      <c r="GI75" s="1">
        <v>1.71</v>
      </c>
      <c r="GJ75" s="1">
        <v>1.86</v>
      </c>
      <c r="GK75" s="1">
        <v>1.81</v>
      </c>
      <c r="GL75" s="1">
        <v>1.95</v>
      </c>
      <c r="GM75" s="1">
        <v>2.2599999999999998</v>
      </c>
      <c r="GN75" s="1">
        <v>2.5299999999999998</v>
      </c>
      <c r="GO75" s="1">
        <v>2.75</v>
      </c>
      <c r="GP75" s="1">
        <v>2.91</v>
      </c>
      <c r="GQ75" s="1">
        <v>1.41</v>
      </c>
      <c r="GR75" s="1">
        <v>1.17</v>
      </c>
      <c r="GS75" s="1">
        <v>0.86</v>
      </c>
      <c r="GT75" s="1">
        <v>1.1399999999999999</v>
      </c>
      <c r="GU75" s="1">
        <v>0.66</v>
      </c>
      <c r="GV75" s="1">
        <v>1.01</v>
      </c>
      <c r="GW75" s="1">
        <v>1.31</v>
      </c>
      <c r="GX75" s="1">
        <v>1.26</v>
      </c>
      <c r="GY75" s="1">
        <v>1.48</v>
      </c>
      <c r="GZ75" s="1">
        <v>1.67</v>
      </c>
      <c r="HA75" s="1">
        <v>1.81</v>
      </c>
      <c r="HB75" s="1">
        <v>2.0099999999999998</v>
      </c>
      <c r="HC75" s="1">
        <v>0.69</v>
      </c>
      <c r="HD75" s="1">
        <v>0.63</v>
      </c>
      <c r="HE75" s="1">
        <v>0.88</v>
      </c>
      <c r="HF75" s="1">
        <v>1.06</v>
      </c>
      <c r="HG75" s="1">
        <v>0.74</v>
      </c>
      <c r="HH75" s="1">
        <v>1.1100000000000001</v>
      </c>
      <c r="HI75" s="1">
        <v>1.25</v>
      </c>
      <c r="HJ75" s="1">
        <v>1.32</v>
      </c>
      <c r="HK75" s="1">
        <v>1.53</v>
      </c>
      <c r="HL75" s="1">
        <v>1.8</v>
      </c>
      <c r="HM75" s="1">
        <v>1.89</v>
      </c>
      <c r="HN75" s="1">
        <v>2.16</v>
      </c>
      <c r="HO75" s="1">
        <v>2.34</v>
      </c>
      <c r="HP75" s="1">
        <v>2.31</v>
      </c>
      <c r="HQ75" s="1">
        <v>1.78</v>
      </c>
      <c r="HR75" s="1">
        <v>2.09</v>
      </c>
      <c r="HS75" s="1">
        <v>2.0099999999999998</v>
      </c>
      <c r="HT75" s="1">
        <v>2.29</v>
      </c>
      <c r="HU75" s="1">
        <v>2.56</v>
      </c>
      <c r="HV75" s="1">
        <v>2.66</v>
      </c>
      <c r="HW75" s="1">
        <v>2.91</v>
      </c>
      <c r="HX75" s="1">
        <v>2.92</v>
      </c>
      <c r="HY75" s="1">
        <v>2.96</v>
      </c>
      <c r="HZ75" s="1">
        <v>1.8</v>
      </c>
      <c r="IA75" s="1">
        <v>1.85</v>
      </c>
      <c r="IB75" s="1">
        <v>1.71</v>
      </c>
      <c r="IC75" s="1">
        <v>1.36</v>
      </c>
      <c r="ID75" s="1">
        <v>1.57</v>
      </c>
      <c r="IE75" s="1">
        <v>2.02</v>
      </c>
      <c r="IF75" s="1">
        <v>2.16</v>
      </c>
      <c r="IG75" s="1">
        <v>2.37</v>
      </c>
      <c r="IH75" s="1">
        <v>2.54</v>
      </c>
      <c r="II75" s="1">
        <v>2.7</v>
      </c>
      <c r="IJ75" s="1">
        <v>3.06</v>
      </c>
      <c r="IK75" s="1">
        <v>3.13</v>
      </c>
      <c r="IL75" s="1">
        <v>2.74</v>
      </c>
      <c r="IM75" s="1">
        <v>2.36</v>
      </c>
      <c r="IN75" s="1">
        <v>2.14</v>
      </c>
      <c r="IO75" s="1">
        <v>1.96</v>
      </c>
      <c r="IP75" s="1">
        <v>1.64</v>
      </c>
      <c r="IQ75" s="1">
        <v>1.79</v>
      </c>
      <c r="IR75" s="1">
        <v>1.92</v>
      </c>
      <c r="IS75" s="1">
        <v>1.89</v>
      </c>
      <c r="IT75" s="1">
        <v>2.2200000000000002</v>
      </c>
      <c r="IU75" s="1">
        <v>2.4</v>
      </c>
      <c r="IV75" s="1">
        <v>2.71</v>
      </c>
      <c r="IW75" s="1">
        <v>2.86</v>
      </c>
      <c r="IX75" s="1">
        <v>2.69</v>
      </c>
      <c r="IY75" s="1">
        <v>2.08</v>
      </c>
      <c r="IZ75" s="1">
        <v>1.77</v>
      </c>
      <c r="JA75" s="1">
        <v>1.29</v>
      </c>
      <c r="JB75" s="1">
        <v>1.29</v>
      </c>
      <c r="JC75" s="1">
        <v>1.88</v>
      </c>
      <c r="JD75" s="1">
        <v>2.19</v>
      </c>
      <c r="JE75" s="1">
        <v>2.38</v>
      </c>
      <c r="JF75" s="1">
        <v>2.48</v>
      </c>
      <c r="JG75" s="1">
        <v>3.12</v>
      </c>
      <c r="JH75" s="1">
        <v>3.23</v>
      </c>
      <c r="JI75" s="1">
        <v>4.2300000000000004</v>
      </c>
      <c r="JJ75" s="1">
        <v>5.03</v>
      </c>
      <c r="JK75" s="1">
        <v>4.5599999999999996</v>
      </c>
      <c r="JL75" s="1">
        <v>3.19</v>
      </c>
      <c r="JM75" s="1">
        <v>3.9</v>
      </c>
      <c r="JN75" s="1">
        <v>4.6500000000000004</v>
      </c>
      <c r="JO75" s="1">
        <v>5.0199999999999996</v>
      </c>
      <c r="JP75" s="1">
        <v>5.07</v>
      </c>
      <c r="JQ75" s="1">
        <v>5.45</v>
      </c>
      <c r="JR75" s="1">
        <v>4.88</v>
      </c>
      <c r="JS75" s="1">
        <v>5.84</v>
      </c>
      <c r="JT75" s="1">
        <v>5.92</v>
      </c>
      <c r="JU75" s="1">
        <v>5.37</v>
      </c>
      <c r="JV75" s="1">
        <v>5.28</v>
      </c>
      <c r="JW75" s="1">
        <v>4.25</v>
      </c>
      <c r="JX75" s="1">
        <v>3.43</v>
      </c>
      <c r="JY75" s="1">
        <v>3.51</v>
      </c>
      <c r="JZ75" s="1">
        <v>5.45</v>
      </c>
      <c r="KA75" s="1">
        <v>3.06</v>
      </c>
      <c r="KB75" s="1">
        <v>3.83</v>
      </c>
      <c r="KC75" s="1">
        <v>3.79</v>
      </c>
      <c r="KD75" s="1">
        <v>4.16</v>
      </c>
      <c r="KE75" s="1"/>
      <c r="KF75" s="1"/>
      <c r="KG75" s="1">
        <v>4.71</v>
      </c>
      <c r="KH75" s="1">
        <v>4.16</v>
      </c>
      <c r="KI75" s="1">
        <v>3.85</v>
      </c>
      <c r="KJ75" s="1">
        <v>3.72</v>
      </c>
      <c r="KK75" s="1">
        <v>3.45</v>
      </c>
      <c r="KL75" s="1">
        <v>2.66</v>
      </c>
      <c r="KM75" s="1">
        <v>3.56</v>
      </c>
      <c r="KN75" s="1">
        <v>3.99</v>
      </c>
      <c r="KO75" s="1">
        <v>2.19</v>
      </c>
      <c r="KP75" s="1">
        <v>2.0099999999999998</v>
      </c>
      <c r="KQ75" s="1">
        <v>2.5</v>
      </c>
      <c r="KR75" s="1">
        <v>3.57</v>
      </c>
      <c r="KS75" s="1">
        <v>4.0199999999999996</v>
      </c>
      <c r="KT75" s="1">
        <v>3.91</v>
      </c>
      <c r="KU75" s="1">
        <v>3.65</v>
      </c>
      <c r="KV75" s="1">
        <v>2.76</v>
      </c>
      <c r="KW75" s="1">
        <v>2.62</v>
      </c>
      <c r="KX75" s="1">
        <v>1.06</v>
      </c>
      <c r="KY75" s="1">
        <v>1.63</v>
      </c>
      <c r="KZ75" s="1">
        <v>2.08</v>
      </c>
      <c r="LA75" s="1">
        <v>1.93</v>
      </c>
      <c r="LB75" s="1">
        <v>2.33</v>
      </c>
      <c r="LC75" s="1">
        <v>2.34</v>
      </c>
      <c r="LD75" s="1">
        <v>2.4300000000000002</v>
      </c>
      <c r="LE75" s="1">
        <v>2.65</v>
      </c>
      <c r="LF75" s="1">
        <v>2.74</v>
      </c>
      <c r="LG75" s="1">
        <v>1.34</v>
      </c>
      <c r="LH75" s="1">
        <v>1.9899999999999998</v>
      </c>
      <c r="LI75" s="1">
        <v>1.08</v>
      </c>
      <c r="LJ75" s="1">
        <v>0.69</v>
      </c>
      <c r="LK75" s="1">
        <v>1.0499999999999998</v>
      </c>
      <c r="LL75" s="1">
        <v>1.25</v>
      </c>
      <c r="LM75" s="1">
        <v>1.9700000000000002</v>
      </c>
      <c r="LN75" s="1">
        <v>1.94</v>
      </c>
      <c r="LO75" s="1">
        <v>2.06</v>
      </c>
      <c r="LP75" s="1">
        <v>2.34</v>
      </c>
      <c r="LQ75" s="1">
        <v>2.09</v>
      </c>
      <c r="LR75" s="1">
        <v>2.4900000000000002</v>
      </c>
      <c r="LS75" s="1">
        <v>2.0699999999999998</v>
      </c>
      <c r="LT75" s="1">
        <v>1.6400000000000001</v>
      </c>
      <c r="LU75" s="1">
        <v>1.27</v>
      </c>
      <c r="LV75" s="1">
        <v>1.6400000000000001</v>
      </c>
      <c r="LW75" s="1">
        <v>2.1300000000000003</v>
      </c>
      <c r="LX75" s="1">
        <v>1.83</v>
      </c>
      <c r="LY75" s="1">
        <v>1.9100000000000001</v>
      </c>
      <c r="LZ75" s="1">
        <v>2.5100000000000002</v>
      </c>
      <c r="MA75" s="1">
        <v>2.64</v>
      </c>
      <c r="MB75" s="1">
        <v>3.1399999999999997</v>
      </c>
      <c r="MC75" s="1">
        <v>3.17</v>
      </c>
      <c r="MD75" s="1">
        <v>3.2799999999999994</v>
      </c>
      <c r="ME75" s="1">
        <v>1.7400000000000002</v>
      </c>
      <c r="MF75" s="1">
        <v>1.17</v>
      </c>
      <c r="MG75" s="1">
        <v>1.1499999999999999</v>
      </c>
      <c r="MH75" s="1">
        <v>0.84000000000000008</v>
      </c>
      <c r="MI75" s="1">
        <v>1.3399999999999999</v>
      </c>
      <c r="MJ75" s="1">
        <v>1.9400000000000004</v>
      </c>
      <c r="MK75" s="1">
        <v>2.2400000000000002</v>
      </c>
      <c r="ML75" s="1">
        <v>2.4900000000000002</v>
      </c>
      <c r="MM75" s="1">
        <v>2.8</v>
      </c>
      <c r="MN75" s="1">
        <v>2.34</v>
      </c>
      <c r="MO75" s="1">
        <v>2.12</v>
      </c>
      <c r="MP75" s="1">
        <v>2.14</v>
      </c>
      <c r="MQ75" s="1">
        <v>1.79</v>
      </c>
      <c r="MR75" s="1">
        <v>0.94</v>
      </c>
      <c r="MS75" s="1">
        <v>0.84000000000000008</v>
      </c>
      <c r="MT75">
        <v>3.89</v>
      </c>
      <c r="MU75">
        <v>3.42</v>
      </c>
    </row>
    <row r="76" spans="1:359" ht="15.75" x14ac:dyDescent="0.25">
      <c r="A76" s="8" t="s">
        <v>0</v>
      </c>
      <c r="B76" s="39">
        <v>20556</v>
      </c>
      <c r="C76" s="39" t="s">
        <v>116</v>
      </c>
      <c r="D76" s="39" t="s">
        <v>134</v>
      </c>
      <c r="E76" s="39" t="s">
        <v>135</v>
      </c>
      <c r="F76" s="39" t="s">
        <v>46</v>
      </c>
      <c r="G76" s="39" t="s">
        <v>209</v>
      </c>
      <c r="H76" s="41">
        <v>30.48</v>
      </c>
      <c r="I76" s="39" t="s">
        <v>124</v>
      </c>
      <c r="J76" s="40">
        <v>93.864050000000006</v>
      </c>
      <c r="K76" s="39">
        <v>17.08512</v>
      </c>
      <c r="L76" s="39">
        <v>80.622821999999999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>
        <v>6.3</v>
      </c>
      <c r="AA76" s="1">
        <v>6.7</v>
      </c>
      <c r="AB76" s="1">
        <v>7.19</v>
      </c>
      <c r="AC76" s="1">
        <v>7.46</v>
      </c>
      <c r="AD76" s="1">
        <v>7.33</v>
      </c>
      <c r="AE76" s="1">
        <v>7.28</v>
      </c>
      <c r="AF76" s="1">
        <v>3.54</v>
      </c>
      <c r="AG76" s="1">
        <v>2.15</v>
      </c>
      <c r="AH76" s="1">
        <v>2</v>
      </c>
      <c r="AI76" s="1">
        <v>1.75</v>
      </c>
      <c r="AJ76" s="1">
        <v>3.17</v>
      </c>
      <c r="AK76" s="1">
        <v>4.2</v>
      </c>
      <c r="AL76" s="1">
        <v>4.4000000000000004</v>
      </c>
      <c r="AM76" s="1">
        <v>4.91</v>
      </c>
      <c r="AN76" s="1">
        <v>5.5</v>
      </c>
      <c r="AO76" s="1">
        <v>6.97</v>
      </c>
      <c r="AP76" s="1">
        <v>6.37</v>
      </c>
      <c r="AQ76" s="1">
        <v>6.43</v>
      </c>
      <c r="AR76" s="1">
        <v>5.84</v>
      </c>
      <c r="AS76" s="1">
        <v>3.1</v>
      </c>
      <c r="AT76" s="1">
        <v>3.51</v>
      </c>
      <c r="AU76" s="1">
        <v>4.1500000000000004</v>
      </c>
      <c r="AV76" s="1">
        <v>4.5</v>
      </c>
      <c r="AW76" s="1">
        <v>4.59</v>
      </c>
      <c r="AX76" s="1">
        <v>5.15</v>
      </c>
      <c r="AY76" s="1">
        <v>6</v>
      </c>
      <c r="AZ76" s="1">
        <v>6.3</v>
      </c>
      <c r="BA76" s="1">
        <v>7.24</v>
      </c>
      <c r="BB76" s="1">
        <v>7.32</v>
      </c>
      <c r="BC76" s="1">
        <v>6.24</v>
      </c>
      <c r="BD76" s="1">
        <v>0.8</v>
      </c>
      <c r="BE76" s="1">
        <v>2.4500000000000002</v>
      </c>
      <c r="BF76" s="1">
        <v>3.44</v>
      </c>
      <c r="BG76" s="1">
        <v>3.67</v>
      </c>
      <c r="BH76" s="1">
        <v>4.5999999999999996</v>
      </c>
      <c r="BI76" s="1">
        <v>5.48</v>
      </c>
      <c r="BJ76" s="1">
        <v>5.48</v>
      </c>
      <c r="BK76" s="1">
        <v>6.27</v>
      </c>
      <c r="BL76" s="1">
        <v>6.55</v>
      </c>
      <c r="BM76" s="1">
        <v>7.02</v>
      </c>
      <c r="BN76" s="1">
        <v>6.92</v>
      </c>
      <c r="BO76" s="1">
        <v>7.08</v>
      </c>
      <c r="BP76" s="1">
        <v>5.01</v>
      </c>
      <c r="BQ76" s="1">
        <v>4.38</v>
      </c>
      <c r="BR76" s="1">
        <v>2.57</v>
      </c>
      <c r="BS76" s="1">
        <v>3.22</v>
      </c>
      <c r="BT76" s="1">
        <v>4.1500000000000004</v>
      </c>
      <c r="BU76" s="1">
        <v>5.18</v>
      </c>
      <c r="BV76" s="1">
        <v>5.0599999999999996</v>
      </c>
      <c r="BW76" s="1">
        <v>4.96</v>
      </c>
      <c r="BX76" s="1">
        <v>5.14</v>
      </c>
      <c r="BY76" s="1">
        <v>6.04</v>
      </c>
      <c r="BZ76" s="1">
        <v>5.59</v>
      </c>
      <c r="CA76" s="1">
        <v>5.84</v>
      </c>
      <c r="CB76" s="1">
        <v>5.57</v>
      </c>
      <c r="CC76" s="1">
        <v>4.38</v>
      </c>
      <c r="CD76" s="1">
        <v>5.07</v>
      </c>
      <c r="CE76" s="1">
        <v>5.09</v>
      </c>
      <c r="CF76" s="1">
        <v>5.94</v>
      </c>
      <c r="CG76" s="1">
        <v>7.46</v>
      </c>
      <c r="CH76" s="1">
        <v>7.66</v>
      </c>
      <c r="CI76" s="1">
        <v>7.47</v>
      </c>
      <c r="CJ76" s="1">
        <v>8</v>
      </c>
      <c r="CK76" s="1">
        <v>8.99</v>
      </c>
      <c r="CL76" s="1">
        <v>8.83</v>
      </c>
      <c r="CM76" s="1">
        <v>7.72</v>
      </c>
      <c r="CN76" s="1">
        <v>3.57</v>
      </c>
      <c r="CO76" s="1">
        <v>3.37</v>
      </c>
      <c r="CP76" s="1">
        <v>3.35</v>
      </c>
      <c r="CQ76" s="1">
        <v>3.61</v>
      </c>
      <c r="CR76" s="1">
        <v>4.55</v>
      </c>
      <c r="CS76" s="1">
        <v>5.01</v>
      </c>
      <c r="CT76" s="1">
        <v>5.78</v>
      </c>
      <c r="CU76" s="1">
        <v>6.92</v>
      </c>
      <c r="CV76" s="1">
        <v>7.52</v>
      </c>
      <c r="CW76" s="1">
        <v>8.36</v>
      </c>
      <c r="CX76" s="1">
        <v>7.92</v>
      </c>
      <c r="CY76" s="1">
        <v>6.38</v>
      </c>
      <c r="CZ76" s="1">
        <v>3.37</v>
      </c>
      <c r="DA76" s="1">
        <v>3.5</v>
      </c>
      <c r="DB76" s="1">
        <v>3.63</v>
      </c>
      <c r="DC76" s="1">
        <v>4.5</v>
      </c>
      <c r="DD76" s="1">
        <v>5.0599999999999996</v>
      </c>
      <c r="DE76" s="1">
        <v>5.93</v>
      </c>
      <c r="DF76" s="1">
        <v>5.56</v>
      </c>
      <c r="DG76" s="1">
        <v>5.88</v>
      </c>
      <c r="DH76" s="1">
        <v>6.04</v>
      </c>
      <c r="DI76" s="1">
        <v>6.39</v>
      </c>
      <c r="DJ76" s="1">
        <v>6</v>
      </c>
      <c r="DK76" s="1">
        <v>5.92</v>
      </c>
      <c r="DL76" s="1">
        <v>3.04</v>
      </c>
      <c r="DM76" s="1">
        <v>0.41</v>
      </c>
      <c r="DN76" s="1">
        <v>1.1299999999999999</v>
      </c>
      <c r="DO76" s="1">
        <v>2.09</v>
      </c>
      <c r="DP76" s="1">
        <v>3.04</v>
      </c>
      <c r="DQ76" s="1">
        <v>3.38</v>
      </c>
      <c r="DR76" s="1">
        <v>3.34</v>
      </c>
      <c r="DS76" s="1">
        <v>3.29</v>
      </c>
      <c r="DT76" s="1">
        <v>3.9</v>
      </c>
      <c r="DU76" s="1">
        <v>4.5199999999999996</v>
      </c>
      <c r="DV76" s="1">
        <v>4.74</v>
      </c>
      <c r="DW76" s="1">
        <v>4.87</v>
      </c>
      <c r="DX76" s="1">
        <v>2.64</v>
      </c>
      <c r="DY76" s="1">
        <v>2.2999999999999998</v>
      </c>
      <c r="DZ76" s="1">
        <v>2.33</v>
      </c>
      <c r="EA76" s="1">
        <v>2.4</v>
      </c>
      <c r="EB76" s="1">
        <v>2.4700000000000002</v>
      </c>
      <c r="EC76" s="1">
        <v>3.67</v>
      </c>
      <c r="ED76" s="1">
        <v>3.52</v>
      </c>
      <c r="EE76" s="1">
        <v>4</v>
      </c>
      <c r="EF76" s="1">
        <v>4.24</v>
      </c>
      <c r="EG76" s="1">
        <v>4.8499999999999996</v>
      </c>
      <c r="EH76" s="1">
        <v>5.65</v>
      </c>
      <c r="EI76" s="1">
        <v>3.86</v>
      </c>
      <c r="EJ76" s="1">
        <v>3.26</v>
      </c>
      <c r="EK76" s="1">
        <v>2.2200000000000002</v>
      </c>
      <c r="EL76" s="1">
        <v>2.2400000000000002</v>
      </c>
      <c r="EM76" s="1">
        <v>2.88</v>
      </c>
      <c r="EN76" s="1">
        <v>3.93</v>
      </c>
      <c r="EO76" s="1">
        <v>3.65</v>
      </c>
      <c r="EP76" s="1">
        <v>3.45</v>
      </c>
      <c r="EQ76" s="1">
        <v>3.37</v>
      </c>
      <c r="ER76" s="1">
        <v>4.04</v>
      </c>
      <c r="ES76" s="1">
        <v>4.6100000000000003</v>
      </c>
      <c r="ET76" s="1">
        <v>4.84</v>
      </c>
      <c r="EU76" s="1">
        <v>4.5199999999999996</v>
      </c>
      <c r="EV76" s="1">
        <v>1.35</v>
      </c>
      <c r="EW76" s="1">
        <v>1.01</v>
      </c>
      <c r="EX76" s="1">
        <v>3.31</v>
      </c>
      <c r="EY76" s="1">
        <v>2.57</v>
      </c>
      <c r="EZ76" s="1">
        <v>3.51</v>
      </c>
      <c r="FA76" s="1">
        <v>3.36</v>
      </c>
      <c r="FB76" s="1">
        <v>3.5</v>
      </c>
      <c r="FC76" s="1">
        <v>3.89</v>
      </c>
      <c r="FD76" s="1">
        <v>4.22</v>
      </c>
      <c r="FE76" s="1">
        <v>4.83</v>
      </c>
      <c r="FF76" s="1">
        <v>5.67</v>
      </c>
      <c r="FG76" s="1">
        <v>6.03</v>
      </c>
      <c r="FH76" s="1">
        <v>6.56</v>
      </c>
      <c r="FI76" s="1">
        <v>5.51</v>
      </c>
      <c r="FJ76" s="1">
        <v>3.6</v>
      </c>
      <c r="FK76" s="1">
        <v>3.59</v>
      </c>
      <c r="FL76" s="1">
        <v>3.67</v>
      </c>
      <c r="FM76" s="1">
        <v>3.75</v>
      </c>
      <c r="FN76" s="1">
        <v>3.84</v>
      </c>
      <c r="FO76" s="1">
        <v>4.04</v>
      </c>
      <c r="FP76" s="1">
        <v>4.7300000000000004</v>
      </c>
      <c r="FQ76" s="1">
        <v>3.86</v>
      </c>
      <c r="FR76" s="1">
        <v>4.04</v>
      </c>
      <c r="FS76" s="1">
        <v>2.16</v>
      </c>
      <c r="FT76" s="1">
        <v>1.44</v>
      </c>
      <c r="FU76" s="1">
        <v>1.44</v>
      </c>
      <c r="FV76" s="1">
        <v>2.04</v>
      </c>
      <c r="FW76" s="1">
        <v>2.54</v>
      </c>
      <c r="FX76" s="1">
        <v>2.99</v>
      </c>
      <c r="FY76" s="1">
        <v>3.8</v>
      </c>
      <c r="FZ76" s="1">
        <v>3.87</v>
      </c>
      <c r="GA76" s="1">
        <v>3.68</v>
      </c>
      <c r="GB76" s="1">
        <v>4.04</v>
      </c>
      <c r="GC76" s="1">
        <v>4.3899999999999997</v>
      </c>
      <c r="GD76" s="1">
        <v>5.14</v>
      </c>
      <c r="GE76" s="1">
        <v>4.74</v>
      </c>
      <c r="GF76" s="1">
        <v>3.84</v>
      </c>
      <c r="GG76" s="1">
        <v>2.59</v>
      </c>
      <c r="GH76" s="1">
        <v>3.22</v>
      </c>
      <c r="GI76" s="1">
        <v>2.89</v>
      </c>
      <c r="GJ76" s="1">
        <v>4.29</v>
      </c>
      <c r="GK76" s="1">
        <v>4.6399999999999997</v>
      </c>
      <c r="GL76" s="1">
        <v>5.34</v>
      </c>
      <c r="GM76" s="1">
        <v>5.89</v>
      </c>
      <c r="GN76" s="1">
        <v>6.34</v>
      </c>
      <c r="GO76" s="1">
        <v>6.69</v>
      </c>
      <c r="GP76" s="1">
        <v>6.99</v>
      </c>
      <c r="GQ76" s="1">
        <v>5.74</v>
      </c>
      <c r="GR76" s="1">
        <v>2.4900000000000002</v>
      </c>
      <c r="GS76" s="1">
        <v>0.94</v>
      </c>
      <c r="GT76" s="1">
        <v>1.82</v>
      </c>
      <c r="GU76" s="1">
        <v>1.4</v>
      </c>
      <c r="GV76" s="1">
        <v>2.94</v>
      </c>
      <c r="GW76" s="1">
        <v>3.94</v>
      </c>
      <c r="GX76" s="1">
        <v>4.54</v>
      </c>
      <c r="GY76" s="1">
        <v>6.89</v>
      </c>
      <c r="GZ76" s="1">
        <v>5.74</v>
      </c>
      <c r="HA76" s="1">
        <v>5.89</v>
      </c>
      <c r="HB76" s="1">
        <v>4.97</v>
      </c>
      <c r="HC76" s="1">
        <v>3.34</v>
      </c>
      <c r="HD76" s="1">
        <v>2.19</v>
      </c>
      <c r="HE76" s="1">
        <v>2.12</v>
      </c>
      <c r="HF76" s="1">
        <v>2.1800000000000002</v>
      </c>
      <c r="HG76" s="1">
        <v>2.69</v>
      </c>
      <c r="HH76" s="1">
        <v>3.49</v>
      </c>
      <c r="HI76" s="1">
        <v>3.4</v>
      </c>
      <c r="HJ76" s="1">
        <v>3.27</v>
      </c>
      <c r="HK76" s="1">
        <v>3.08</v>
      </c>
      <c r="HL76" s="1">
        <v>3.67</v>
      </c>
      <c r="HM76" s="1">
        <v>4.63</v>
      </c>
      <c r="HN76" s="1">
        <v>5.22</v>
      </c>
      <c r="HO76" s="1">
        <v>5.64</v>
      </c>
      <c r="HP76" s="1">
        <v>4.29</v>
      </c>
      <c r="HQ76" s="1">
        <v>2.69</v>
      </c>
      <c r="HR76" s="1">
        <v>2.92</v>
      </c>
      <c r="HS76" s="1">
        <v>2.89</v>
      </c>
      <c r="HT76" s="1">
        <v>3.34</v>
      </c>
      <c r="HU76" s="1">
        <v>3.49</v>
      </c>
      <c r="HV76" s="1">
        <v>3.41</v>
      </c>
      <c r="HW76" s="1">
        <v>4.09</v>
      </c>
      <c r="HX76" s="1">
        <v>4.3899999999999997</v>
      </c>
      <c r="HY76" s="1">
        <v>5.09</v>
      </c>
      <c r="HZ76" s="1">
        <v>3.93</v>
      </c>
      <c r="IA76" s="1">
        <v>3.87</v>
      </c>
      <c r="IB76" s="1">
        <v>3.49</v>
      </c>
      <c r="IC76" s="1">
        <v>2.5099999999999998</v>
      </c>
      <c r="ID76" s="1">
        <v>3.34</v>
      </c>
      <c r="IE76" s="1">
        <v>4.0999999999999996</v>
      </c>
      <c r="IF76" s="1">
        <v>5.0599999999999996</v>
      </c>
      <c r="IG76" s="1">
        <v>5.77</v>
      </c>
      <c r="IH76" s="1">
        <v>6.45</v>
      </c>
      <c r="II76" s="1">
        <v>7.05</v>
      </c>
      <c r="IJ76" s="1">
        <v>7.59</v>
      </c>
      <c r="IK76" s="1">
        <v>7.65</v>
      </c>
      <c r="IL76" s="1">
        <v>7.75</v>
      </c>
      <c r="IM76" s="1">
        <v>5.14</v>
      </c>
      <c r="IN76" s="1">
        <v>4.9400000000000004</v>
      </c>
      <c r="IO76" s="1">
        <v>2.85</v>
      </c>
      <c r="IP76" s="1">
        <v>2.11</v>
      </c>
      <c r="IQ76" s="1">
        <v>3.03</v>
      </c>
      <c r="IR76" s="1">
        <v>3.98</v>
      </c>
      <c r="IS76" s="1">
        <v>5.13</v>
      </c>
      <c r="IT76" s="1">
        <v>5.19</v>
      </c>
      <c r="IU76" s="1">
        <v>5.35</v>
      </c>
      <c r="IV76" s="1">
        <v>4.88</v>
      </c>
      <c r="IW76" s="1">
        <v>5.51</v>
      </c>
      <c r="IX76" s="1">
        <v>5.67</v>
      </c>
      <c r="IY76" s="1">
        <v>3.2</v>
      </c>
      <c r="IZ76" s="1">
        <v>2.72</v>
      </c>
      <c r="JA76" s="1">
        <v>2.66</v>
      </c>
      <c r="JB76" s="1">
        <v>2.57</v>
      </c>
      <c r="JC76" s="1">
        <v>3.38</v>
      </c>
      <c r="JD76" s="1">
        <v>4.46</v>
      </c>
      <c r="JE76" s="1">
        <v>4.66</v>
      </c>
      <c r="JF76" s="1">
        <v>4.3099999999999996</v>
      </c>
      <c r="JG76" s="1">
        <v>4.34</v>
      </c>
      <c r="JH76" s="1">
        <v>4.3099999999999996</v>
      </c>
      <c r="JI76" s="1">
        <v>5.04</v>
      </c>
      <c r="JJ76" s="1">
        <v>4.3899999999999997</v>
      </c>
      <c r="JK76" s="1">
        <v>2.57</v>
      </c>
      <c r="JL76" s="1">
        <v>0.94</v>
      </c>
      <c r="JM76" s="1">
        <v>2.2000000000000002</v>
      </c>
      <c r="JN76" s="1">
        <v>3.04</v>
      </c>
      <c r="JO76" s="1">
        <v>3.38</v>
      </c>
      <c r="JP76" s="1">
        <v>3.47</v>
      </c>
      <c r="JQ76" s="1">
        <v>3.65</v>
      </c>
      <c r="JR76" s="1">
        <v>5.04</v>
      </c>
      <c r="JS76" s="1">
        <v>6.18</v>
      </c>
      <c r="JT76" s="1">
        <v>6.05</v>
      </c>
      <c r="JU76" s="1">
        <v>6.46</v>
      </c>
      <c r="JV76" s="1">
        <v>7.09</v>
      </c>
      <c r="JW76" s="1">
        <v>7.49</v>
      </c>
      <c r="JX76" s="1">
        <v>4.72</v>
      </c>
      <c r="JY76" s="1">
        <v>2.73</v>
      </c>
      <c r="JZ76" s="1">
        <v>2.1</v>
      </c>
      <c r="KA76" s="1">
        <v>1.42</v>
      </c>
      <c r="KB76" s="1">
        <v>3.23</v>
      </c>
      <c r="KC76" s="1">
        <v>3.49</v>
      </c>
      <c r="KD76" s="1">
        <v>3.29</v>
      </c>
      <c r="KE76" s="1"/>
      <c r="KF76" s="1"/>
      <c r="KG76" s="1">
        <v>4.9000000000000004</v>
      </c>
      <c r="KH76" s="1">
        <v>3.73</v>
      </c>
      <c r="KI76" s="1">
        <v>2.06</v>
      </c>
      <c r="KJ76" s="1">
        <v>1.05</v>
      </c>
      <c r="KK76" s="1">
        <v>1.02</v>
      </c>
      <c r="KL76" s="1">
        <v>1.26</v>
      </c>
      <c r="KM76" s="1">
        <v>2.46</v>
      </c>
      <c r="KN76" s="1">
        <v>2.81</v>
      </c>
      <c r="KO76" s="1">
        <v>2.82</v>
      </c>
      <c r="KP76" s="1">
        <v>3.52</v>
      </c>
      <c r="KQ76" s="1">
        <v>3.55</v>
      </c>
      <c r="KR76" s="1">
        <v>3.71</v>
      </c>
      <c r="KS76" s="1">
        <v>4.5599999999999996</v>
      </c>
      <c r="KT76" s="1">
        <v>4.0199999999999996</v>
      </c>
      <c r="KU76" s="1">
        <v>4.22</v>
      </c>
      <c r="KV76" s="1">
        <v>1.21</v>
      </c>
      <c r="KW76" s="1">
        <v>1.24</v>
      </c>
      <c r="KX76" s="1">
        <v>2.0299999999999998</v>
      </c>
      <c r="KY76" s="1">
        <v>1.76</v>
      </c>
      <c r="KZ76" s="1">
        <v>2.83</v>
      </c>
      <c r="LA76" s="1">
        <v>2.92</v>
      </c>
      <c r="LB76" s="1">
        <v>3.62</v>
      </c>
      <c r="LC76" s="1">
        <v>3.59</v>
      </c>
      <c r="LD76" s="1">
        <v>3.85</v>
      </c>
      <c r="LE76" s="1">
        <v>5.4</v>
      </c>
      <c r="LF76" s="1">
        <v>5.18</v>
      </c>
      <c r="LG76" s="1">
        <v>2.39</v>
      </c>
      <c r="LH76" s="1">
        <v>0.24000000000000007</v>
      </c>
      <c r="LI76" s="1">
        <v>1.5</v>
      </c>
      <c r="LJ76" s="1">
        <v>1.6800000000000002</v>
      </c>
      <c r="LK76" s="1">
        <v>2.14</v>
      </c>
      <c r="LL76" s="1">
        <v>3.15</v>
      </c>
      <c r="LM76" s="1">
        <v>3.6199999999999997</v>
      </c>
      <c r="LN76" s="1">
        <v>3.81</v>
      </c>
      <c r="LO76" s="1">
        <v>4.0199999999999996</v>
      </c>
      <c r="LP76" s="1">
        <v>3.7600000000000002</v>
      </c>
      <c r="LQ76" s="1">
        <v>4.2100000000000009</v>
      </c>
      <c r="LR76" s="1">
        <v>5.8</v>
      </c>
      <c r="LS76" s="1">
        <v>0.64000000000000012</v>
      </c>
      <c r="LT76" s="1">
        <v>2.34</v>
      </c>
      <c r="LU76" s="1">
        <v>2.63</v>
      </c>
      <c r="LV76" s="1">
        <v>3.36</v>
      </c>
      <c r="LW76" s="1">
        <v>4.25</v>
      </c>
      <c r="LX76" s="1">
        <v>3.4699999999999993</v>
      </c>
      <c r="LY76" s="1">
        <v>4.6899999999999995</v>
      </c>
      <c r="LZ76" s="1">
        <v>5.84</v>
      </c>
      <c r="MA76" s="1">
        <v>7.8900000000000006</v>
      </c>
      <c r="MB76" s="1">
        <v>9.06</v>
      </c>
      <c r="MC76" s="1">
        <v>8.8600000000000012</v>
      </c>
      <c r="MD76" s="1">
        <v>8.4</v>
      </c>
      <c r="ME76" s="1">
        <v>2.7600000000000002</v>
      </c>
      <c r="MF76" s="1">
        <v>1.7000000000000002</v>
      </c>
      <c r="MG76" s="1">
        <v>1.03</v>
      </c>
      <c r="MH76" s="1">
        <v>2.2600000000000002</v>
      </c>
      <c r="MI76" s="1">
        <v>3.2600000000000002</v>
      </c>
      <c r="MJ76" s="1">
        <v>4.16</v>
      </c>
      <c r="MK76" s="1">
        <v>3.86</v>
      </c>
      <c r="ML76" s="1">
        <v>4.3599999999999994</v>
      </c>
      <c r="MM76" s="1">
        <v>4.8599999999999994</v>
      </c>
      <c r="MN76" s="1">
        <v>4.9600000000000009</v>
      </c>
      <c r="MO76" s="1">
        <v>5.42</v>
      </c>
      <c r="MP76" s="1">
        <v>5.5600000000000005</v>
      </c>
      <c r="MQ76" s="1">
        <v>4.76</v>
      </c>
      <c r="MR76" s="1">
        <v>2.46</v>
      </c>
      <c r="MS76" s="1">
        <v>1.1600000000000001</v>
      </c>
      <c r="MT76">
        <v>1.6</v>
      </c>
      <c r="MU76">
        <v>0.8600000000000001</v>
      </c>
    </row>
    <row r="77" spans="1:359" ht="15.75" x14ac:dyDescent="0.25">
      <c r="A77" s="8" t="s">
        <v>0</v>
      </c>
      <c r="B77" s="39">
        <v>20531</v>
      </c>
      <c r="C77" s="39" t="s">
        <v>116</v>
      </c>
      <c r="D77" s="39" t="s">
        <v>136</v>
      </c>
      <c r="E77" s="39" t="s">
        <v>136</v>
      </c>
      <c r="F77" s="39" t="s">
        <v>137</v>
      </c>
      <c r="G77" s="39" t="s">
        <v>209</v>
      </c>
      <c r="H77" s="41">
        <v>20</v>
      </c>
      <c r="I77" s="39" t="s">
        <v>61</v>
      </c>
      <c r="J77" s="40">
        <v>53.9529</v>
      </c>
      <c r="K77" s="39">
        <v>16.759302000000002</v>
      </c>
      <c r="L77" s="39">
        <v>80.643806999999995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2.85</v>
      </c>
      <c r="Z77" s="1">
        <v>3</v>
      </c>
      <c r="AA77" s="1">
        <v>3.2</v>
      </c>
      <c r="AB77" s="1">
        <v>3.39</v>
      </c>
      <c r="AC77" s="1">
        <v>3.53</v>
      </c>
      <c r="AD77" s="1">
        <v>3.5</v>
      </c>
      <c r="AE77" s="1">
        <v>3.4</v>
      </c>
      <c r="AF77" s="1">
        <v>1.4</v>
      </c>
      <c r="AG77" s="1">
        <v>1.62</v>
      </c>
      <c r="AH77" s="1">
        <v>1</v>
      </c>
      <c r="AI77" s="1">
        <v>0.41</v>
      </c>
      <c r="AJ77" s="1">
        <v>0.69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>
        <v>1.63</v>
      </c>
      <c r="BV77" s="1">
        <v>1.94</v>
      </c>
      <c r="BW77" s="1">
        <v>2.19</v>
      </c>
      <c r="BX77" s="1">
        <v>3.82</v>
      </c>
      <c r="BY77" s="1">
        <v>4.5</v>
      </c>
      <c r="BZ77" s="1">
        <v>3.67</v>
      </c>
      <c r="CA77" s="1">
        <v>3.65</v>
      </c>
      <c r="CB77" s="1">
        <v>3.5</v>
      </c>
      <c r="CC77" s="1">
        <v>3.45</v>
      </c>
      <c r="CD77" s="1">
        <v>3.5</v>
      </c>
      <c r="CE77" s="1">
        <v>3.58</v>
      </c>
      <c r="CF77" s="1">
        <v>4.79</v>
      </c>
      <c r="CG77" s="1">
        <v>4.0199999999999996</v>
      </c>
      <c r="CH77" s="1">
        <v>4.28</v>
      </c>
      <c r="CI77" s="1">
        <v>3.73</v>
      </c>
      <c r="CJ77" s="1">
        <v>4.0199999999999996</v>
      </c>
      <c r="CK77" s="1">
        <v>5.08</v>
      </c>
      <c r="CL77" s="1">
        <v>5.42</v>
      </c>
      <c r="CM77" s="1">
        <v>5.69</v>
      </c>
      <c r="CN77" s="1">
        <v>5.19</v>
      </c>
      <c r="CO77" s="1">
        <v>5.31</v>
      </c>
      <c r="CP77" s="1">
        <v>4.47</v>
      </c>
      <c r="CQ77" s="1">
        <v>4.37</v>
      </c>
      <c r="CR77" s="1">
        <v>4.29</v>
      </c>
      <c r="CS77" s="1">
        <v>4.1100000000000003</v>
      </c>
      <c r="CT77" s="1">
        <v>4.21</v>
      </c>
      <c r="CU77" s="1">
        <v>4.3899999999999997</v>
      </c>
      <c r="CV77" s="1">
        <v>4.6100000000000003</v>
      </c>
      <c r="CW77" s="1">
        <v>5.03</v>
      </c>
      <c r="CX77" s="1">
        <v>5.54</v>
      </c>
      <c r="CY77" s="1">
        <v>5.98</v>
      </c>
      <c r="CZ77" s="1">
        <v>5.65</v>
      </c>
      <c r="DA77" s="1">
        <v>5.84</v>
      </c>
      <c r="DB77" s="1">
        <v>5.36</v>
      </c>
      <c r="DC77" s="1">
        <v>5.52</v>
      </c>
      <c r="DD77" s="1">
        <v>5.78</v>
      </c>
      <c r="DE77" s="1">
        <v>6.19</v>
      </c>
      <c r="DF77" s="1">
        <v>6.62</v>
      </c>
      <c r="DG77" s="1">
        <v>6.59</v>
      </c>
      <c r="DH77" s="1">
        <v>8.0299999999999994</v>
      </c>
      <c r="DI77" s="1">
        <v>8.4</v>
      </c>
      <c r="DJ77" s="1">
        <v>8.69</v>
      </c>
      <c r="DK77" s="1">
        <v>8.4</v>
      </c>
      <c r="DL77" s="1">
        <v>8.0500000000000007</v>
      </c>
      <c r="DM77" s="1">
        <v>5.81</v>
      </c>
      <c r="DN77" s="1">
        <v>4.8099999999999996</v>
      </c>
      <c r="DO77" s="1">
        <v>3.78</v>
      </c>
      <c r="DP77" s="1">
        <v>3.63</v>
      </c>
      <c r="DQ77" s="1">
        <v>3.63</v>
      </c>
      <c r="DR77" s="1">
        <v>3.72</v>
      </c>
      <c r="DS77" s="1">
        <v>3.84</v>
      </c>
      <c r="DT77" s="1">
        <v>4.04</v>
      </c>
      <c r="DU77" s="1">
        <v>4.17</v>
      </c>
      <c r="DV77" s="1">
        <v>4.4000000000000004</v>
      </c>
      <c r="DW77" s="1">
        <v>4.4800000000000004</v>
      </c>
      <c r="DX77" s="1">
        <v>4.3600000000000003</v>
      </c>
      <c r="DY77" s="1">
        <v>4</v>
      </c>
      <c r="DZ77" s="1">
        <v>3.84</v>
      </c>
      <c r="EA77" s="1">
        <v>3.92</v>
      </c>
      <c r="EB77" s="1">
        <v>4</v>
      </c>
      <c r="EC77" s="1">
        <v>3.6</v>
      </c>
      <c r="ED77" s="1">
        <v>3.78</v>
      </c>
      <c r="EE77" s="1">
        <v>4</v>
      </c>
      <c r="EF77" s="1">
        <v>4.21</v>
      </c>
      <c r="EG77" s="1">
        <v>4.18</v>
      </c>
      <c r="EH77" s="1">
        <v>4.49</v>
      </c>
      <c r="EI77" s="1">
        <v>4.4000000000000004</v>
      </c>
      <c r="EJ77" s="1">
        <v>4.26</v>
      </c>
      <c r="EK77" s="1">
        <v>3.74</v>
      </c>
      <c r="EL77" s="1">
        <v>3.14</v>
      </c>
      <c r="EM77" s="1">
        <v>3.09</v>
      </c>
      <c r="EN77" s="1">
        <v>3.19</v>
      </c>
      <c r="EO77" s="1">
        <v>3.6</v>
      </c>
      <c r="EP77" s="1">
        <v>3.36</v>
      </c>
      <c r="EQ77" s="1">
        <v>3.4</v>
      </c>
      <c r="ER77" s="1">
        <v>3.35</v>
      </c>
      <c r="ES77" s="1">
        <v>3.45</v>
      </c>
      <c r="ET77" s="1">
        <v>3.69</v>
      </c>
      <c r="EU77" s="1">
        <v>3.71</v>
      </c>
      <c r="EV77" s="1">
        <v>1.69</v>
      </c>
      <c r="EW77" s="1">
        <v>1.1499999999999999</v>
      </c>
      <c r="EX77" s="1">
        <v>1.74</v>
      </c>
      <c r="EY77" s="1">
        <v>1.98</v>
      </c>
      <c r="EZ77" s="1">
        <v>2.31</v>
      </c>
      <c r="FA77" s="1">
        <v>2.4500000000000002</v>
      </c>
      <c r="FB77" s="1">
        <v>2.7</v>
      </c>
      <c r="FC77" s="1">
        <v>2.9</v>
      </c>
      <c r="FD77" s="1">
        <v>3.11</v>
      </c>
      <c r="FE77" s="1">
        <v>3.3</v>
      </c>
      <c r="FF77" s="1">
        <v>3.57</v>
      </c>
      <c r="FG77" s="1">
        <v>3.71</v>
      </c>
      <c r="FH77" s="1">
        <v>3.73</v>
      </c>
      <c r="FI77" s="1">
        <v>3.41</v>
      </c>
      <c r="FJ77" s="1">
        <v>2.2999999999999998</v>
      </c>
      <c r="FK77" s="1">
        <v>2.4500000000000002</v>
      </c>
      <c r="FL77" s="1">
        <v>2.54</v>
      </c>
      <c r="FM77" s="1">
        <v>2.75</v>
      </c>
      <c r="FN77" s="1">
        <v>2.98</v>
      </c>
      <c r="FO77" s="1">
        <v>3.1</v>
      </c>
      <c r="FP77" s="1">
        <v>3.3</v>
      </c>
      <c r="FQ77" s="1">
        <v>3.2</v>
      </c>
      <c r="FR77" s="1">
        <v>3.03</v>
      </c>
      <c r="FS77" s="1">
        <v>1.88</v>
      </c>
      <c r="FT77" s="1">
        <v>0.64</v>
      </c>
      <c r="FU77" s="1">
        <v>0.55000000000000004</v>
      </c>
      <c r="FV77" s="1">
        <v>0.65</v>
      </c>
      <c r="FW77" s="1">
        <v>0.9</v>
      </c>
      <c r="FX77" s="1">
        <v>1</v>
      </c>
      <c r="FY77" s="1">
        <v>1.42</v>
      </c>
      <c r="FZ77" s="1">
        <v>1.6</v>
      </c>
      <c r="GA77" s="1">
        <v>1.72</v>
      </c>
      <c r="GB77" s="1">
        <v>1.98</v>
      </c>
      <c r="GC77" s="1">
        <v>2.31</v>
      </c>
      <c r="GD77" s="1">
        <v>2.25</v>
      </c>
      <c r="GE77" s="1">
        <v>1.25</v>
      </c>
      <c r="GF77" s="1">
        <v>1.28</v>
      </c>
      <c r="GG77" s="1">
        <v>1.17</v>
      </c>
      <c r="GH77" s="1">
        <v>1.88</v>
      </c>
      <c r="GI77" s="1">
        <v>2.35</v>
      </c>
      <c r="GJ77" s="1">
        <v>2.68</v>
      </c>
      <c r="GK77" s="1">
        <v>2.69</v>
      </c>
      <c r="GL77" s="1">
        <v>2.4700000000000002</v>
      </c>
      <c r="GM77" s="1">
        <v>3.07</v>
      </c>
      <c r="GN77" s="1">
        <v>3.27</v>
      </c>
      <c r="GO77" s="1">
        <v>3.41</v>
      </c>
      <c r="GP77" s="1">
        <v>3.65</v>
      </c>
      <c r="GQ77" s="1">
        <v>3.32</v>
      </c>
      <c r="GR77" s="1">
        <v>1.85</v>
      </c>
      <c r="GS77" s="1">
        <v>1.1000000000000001</v>
      </c>
      <c r="GT77" s="1">
        <v>1</v>
      </c>
      <c r="GU77" s="1">
        <v>0.65</v>
      </c>
      <c r="GV77" s="1">
        <v>1.35</v>
      </c>
      <c r="GW77" s="1">
        <v>1.72</v>
      </c>
      <c r="GX77" s="1">
        <v>1.85</v>
      </c>
      <c r="GY77" s="1">
        <v>2.37</v>
      </c>
      <c r="GZ77" s="1">
        <v>2.68</v>
      </c>
      <c r="HA77" s="1">
        <v>2.95</v>
      </c>
      <c r="HB77" s="1">
        <v>3.1</v>
      </c>
      <c r="HC77" s="1">
        <v>2.69</v>
      </c>
      <c r="HD77" s="1">
        <v>1.7</v>
      </c>
      <c r="HE77" s="1">
        <v>1.39</v>
      </c>
      <c r="HF77" s="1">
        <v>1.07</v>
      </c>
      <c r="HG77" s="1">
        <v>0.69</v>
      </c>
      <c r="HH77" s="1">
        <v>1.25</v>
      </c>
      <c r="HI77" s="1">
        <v>1.59</v>
      </c>
      <c r="HJ77" s="1">
        <v>2</v>
      </c>
      <c r="HK77" s="1">
        <v>2.4</v>
      </c>
      <c r="HL77" s="1">
        <v>2.7</v>
      </c>
      <c r="HM77" s="1">
        <v>2.9</v>
      </c>
      <c r="HN77" s="1">
        <v>3.2</v>
      </c>
      <c r="HO77" s="1">
        <v>3.4</v>
      </c>
      <c r="HP77" s="1">
        <v>3.3</v>
      </c>
      <c r="HQ77" s="1">
        <v>3.3</v>
      </c>
      <c r="HR77" s="1">
        <v>3.36</v>
      </c>
      <c r="HS77" s="1">
        <v>3.1</v>
      </c>
      <c r="HT77" s="1">
        <v>3.25</v>
      </c>
      <c r="HU77" s="1">
        <v>3.43</v>
      </c>
      <c r="HV77" s="1">
        <v>3.58</v>
      </c>
      <c r="HW77" s="1">
        <v>3.8</v>
      </c>
      <c r="HX77" s="1">
        <v>4.13</v>
      </c>
      <c r="HY77" s="1">
        <v>4.43</v>
      </c>
      <c r="HZ77" s="1">
        <v>4.49</v>
      </c>
      <c r="IA77" s="1">
        <v>4.33</v>
      </c>
      <c r="IB77" s="1">
        <v>4.2</v>
      </c>
      <c r="IC77" s="1">
        <v>3.86</v>
      </c>
      <c r="ID77" s="1">
        <v>3.91</v>
      </c>
      <c r="IE77" s="1">
        <v>4.0999999999999996</v>
      </c>
      <c r="IF77" s="1">
        <v>4.33</v>
      </c>
      <c r="IG77" s="1">
        <v>5.14</v>
      </c>
      <c r="IH77" s="1">
        <v>5.41</v>
      </c>
      <c r="II77" s="1">
        <v>5.95</v>
      </c>
      <c r="IJ77" s="1">
        <v>6.78</v>
      </c>
      <c r="IK77" s="1">
        <v>7.46</v>
      </c>
      <c r="IL77" s="1">
        <v>7.9</v>
      </c>
      <c r="IM77" s="1">
        <v>7.29</v>
      </c>
      <c r="IN77" s="1">
        <v>8.11</v>
      </c>
      <c r="IO77" s="1">
        <v>8.49</v>
      </c>
      <c r="IP77" s="1">
        <v>6.38</v>
      </c>
      <c r="IQ77" s="1">
        <v>5.88</v>
      </c>
      <c r="IR77" s="1">
        <v>6.03</v>
      </c>
      <c r="IS77" s="1">
        <v>6.4</v>
      </c>
      <c r="IT77" s="1">
        <v>6.87</v>
      </c>
      <c r="IU77" s="1">
        <v>7.7</v>
      </c>
      <c r="IV77" s="1">
        <v>7.79</v>
      </c>
      <c r="IW77" s="1">
        <v>8.48</v>
      </c>
      <c r="IX77" s="1">
        <v>8.4600000000000009</v>
      </c>
      <c r="IY77" s="1">
        <v>8.52</v>
      </c>
      <c r="IZ77" s="1">
        <v>8.49</v>
      </c>
      <c r="JA77" s="1">
        <v>8.18</v>
      </c>
      <c r="JB77" s="1">
        <v>7.23</v>
      </c>
      <c r="JC77" s="1">
        <v>6.8</v>
      </c>
      <c r="JD77" s="1">
        <v>7.06</v>
      </c>
      <c r="JE77" s="1">
        <v>7.78</v>
      </c>
      <c r="JF77" s="1">
        <v>7.96</v>
      </c>
      <c r="JG77" s="1">
        <v>7.97</v>
      </c>
      <c r="JH77" s="1">
        <v>8.42</v>
      </c>
      <c r="JI77" s="1">
        <v>8.1999999999999993</v>
      </c>
      <c r="JJ77" s="1">
        <v>8.4600000000000009</v>
      </c>
      <c r="JK77" s="1">
        <v>8.4499999999999993</v>
      </c>
      <c r="JL77" s="1">
        <v>7.69</v>
      </c>
      <c r="JM77" s="1">
        <v>6.07</v>
      </c>
      <c r="JN77" s="1">
        <v>5.83</v>
      </c>
      <c r="JO77" s="1">
        <v>5.96</v>
      </c>
      <c r="JP77" s="1">
        <v>5.82</v>
      </c>
      <c r="JQ77" s="1">
        <v>6.06</v>
      </c>
      <c r="JR77" s="1">
        <v>6.22</v>
      </c>
      <c r="JS77" s="1">
        <v>6.65</v>
      </c>
      <c r="JT77" s="1">
        <v>7.33</v>
      </c>
      <c r="JU77" s="1">
        <v>7.81</v>
      </c>
      <c r="JV77" s="1">
        <v>8.5</v>
      </c>
      <c r="JW77" s="1">
        <v>7.8</v>
      </c>
      <c r="JX77" s="1">
        <v>7.89</v>
      </c>
      <c r="JY77" s="1">
        <v>8.3800000000000008</v>
      </c>
      <c r="JZ77" s="1">
        <v>7.85</v>
      </c>
      <c r="KA77" s="1">
        <v>8.18</v>
      </c>
      <c r="KB77" s="1">
        <v>8.5299999999999994</v>
      </c>
      <c r="KC77" s="1">
        <v>8.7899999999999991</v>
      </c>
      <c r="KD77" s="1">
        <v>9.5399999999999991</v>
      </c>
      <c r="KE77" s="1"/>
      <c r="KF77" s="1"/>
      <c r="KG77" s="1">
        <v>9.26</v>
      </c>
      <c r="KH77" s="1">
        <v>9.23</v>
      </c>
      <c r="KI77" s="1">
        <v>8.4600000000000009</v>
      </c>
      <c r="KJ77" s="1"/>
      <c r="KK77" s="1"/>
      <c r="KL77" s="1">
        <v>5.16</v>
      </c>
      <c r="KM77" s="1">
        <v>8.82</v>
      </c>
      <c r="KN77" s="1">
        <v>6.25</v>
      </c>
      <c r="KO77" s="1">
        <v>4.72</v>
      </c>
      <c r="KP77" s="1">
        <v>5.15</v>
      </c>
      <c r="KQ77" s="1">
        <v>5.5</v>
      </c>
      <c r="KR77" s="1">
        <v>5.72</v>
      </c>
      <c r="KS77" s="1">
        <v>6.6</v>
      </c>
      <c r="KT77" s="1">
        <v>6.08</v>
      </c>
      <c r="KU77" s="1">
        <v>5.38</v>
      </c>
      <c r="KV77" s="1">
        <v>4.2</v>
      </c>
      <c r="KW77" s="1">
        <v>4.13</v>
      </c>
      <c r="KX77" s="1">
        <v>4.97</v>
      </c>
      <c r="KY77" s="1">
        <v>4.67</v>
      </c>
      <c r="KZ77" s="1">
        <v>4.4400000000000004</v>
      </c>
      <c r="LA77" s="1">
        <v>4.53</v>
      </c>
      <c r="LB77" s="1">
        <v>4.5999999999999996</v>
      </c>
      <c r="LC77" s="1">
        <v>4.82</v>
      </c>
      <c r="LD77" s="1">
        <v>4.2699999999999996</v>
      </c>
      <c r="LE77" s="1">
        <v>6</v>
      </c>
      <c r="LF77" s="1">
        <v>5.79</v>
      </c>
      <c r="LG77" s="1">
        <v>6.12</v>
      </c>
      <c r="LH77" s="1">
        <v>5.0000000000000009</v>
      </c>
      <c r="LI77" s="1">
        <v>6.29</v>
      </c>
      <c r="LJ77" s="1">
        <v>5.3000000000000007</v>
      </c>
      <c r="LK77" s="1">
        <v>5.080000000000001</v>
      </c>
      <c r="LL77" s="1">
        <v>5.16</v>
      </c>
      <c r="LM77" s="1">
        <v>5.32</v>
      </c>
      <c r="LN77" s="1">
        <v>5.5500000000000007</v>
      </c>
      <c r="LO77" s="1">
        <v>5.86</v>
      </c>
      <c r="LP77" s="1">
        <v>6.4</v>
      </c>
      <c r="LQ77" s="1">
        <v>7</v>
      </c>
      <c r="LR77" s="1">
        <v>8.41</v>
      </c>
      <c r="LS77" s="1">
        <v>7.6300000000000008</v>
      </c>
      <c r="LT77" s="1">
        <v>6.48</v>
      </c>
      <c r="LU77" s="1">
        <v>6.12</v>
      </c>
      <c r="LV77" s="1">
        <v>5.75</v>
      </c>
      <c r="LW77" s="1">
        <v>5.7700000000000005</v>
      </c>
      <c r="LX77" s="1">
        <v>5.48</v>
      </c>
      <c r="LY77" s="1">
        <v>5.25</v>
      </c>
      <c r="LZ77" s="1">
        <v>5.3000000000000007</v>
      </c>
      <c r="MA77" s="1">
        <v>5.5500000000000007</v>
      </c>
      <c r="MB77" s="1">
        <v>6.15</v>
      </c>
      <c r="MC77" s="1">
        <v>6.8000000000000007</v>
      </c>
      <c r="MD77" s="1">
        <v>8.14</v>
      </c>
      <c r="ME77" s="1">
        <v>7.8</v>
      </c>
      <c r="MF77" s="1">
        <v>7.42</v>
      </c>
      <c r="MG77" s="1">
        <v>3.1999999999999997</v>
      </c>
      <c r="MH77" s="1">
        <v>2.6</v>
      </c>
      <c r="MI77" s="1">
        <v>3.1</v>
      </c>
      <c r="MJ77" s="1">
        <v>3.4999999999999996</v>
      </c>
      <c r="MK77" s="1">
        <v>3.9</v>
      </c>
      <c r="ML77" s="1">
        <v>4.1500000000000004</v>
      </c>
      <c r="MM77" s="1">
        <v>4.5</v>
      </c>
      <c r="MN77" s="1">
        <v>4.9000000000000004</v>
      </c>
      <c r="MO77" s="1">
        <v>5.79</v>
      </c>
      <c r="MP77" s="1">
        <v>5.3000000000000007</v>
      </c>
      <c r="MQ77" s="1">
        <v>5</v>
      </c>
      <c r="MR77" s="1">
        <v>4.9000000000000004</v>
      </c>
      <c r="MS77" s="1">
        <v>4.0999999999999996</v>
      </c>
      <c r="MT77">
        <v>3.08</v>
      </c>
      <c r="MU77">
        <v>3.35</v>
      </c>
    </row>
    <row r="78" spans="1:359" ht="15.75" x14ac:dyDescent="0.25">
      <c r="A78" s="8" t="s">
        <v>0</v>
      </c>
      <c r="B78" s="39">
        <v>21351</v>
      </c>
      <c r="C78" s="39" t="s">
        <v>116</v>
      </c>
      <c r="D78" s="39" t="s">
        <v>138</v>
      </c>
      <c r="E78" s="39" t="s">
        <v>138</v>
      </c>
      <c r="F78" s="39" t="s">
        <v>46</v>
      </c>
      <c r="G78" s="39" t="s">
        <v>209</v>
      </c>
      <c r="H78" s="41">
        <v>24.6</v>
      </c>
      <c r="I78" s="39" t="s">
        <v>119</v>
      </c>
      <c r="J78" s="40">
        <v>51.334866666666699</v>
      </c>
      <c r="K78" s="39">
        <v>16.767745600000001</v>
      </c>
      <c r="L78" s="39">
        <v>80.283015800000001</v>
      </c>
      <c r="M78" s="1"/>
      <c r="N78" s="1"/>
      <c r="O78" s="1"/>
      <c r="P78" s="1"/>
      <c r="Q78" s="1"/>
      <c r="R78" s="1"/>
      <c r="S78" s="1"/>
      <c r="T78" s="1"/>
      <c r="U78" s="1">
        <v>7.63</v>
      </c>
      <c r="V78" s="1">
        <v>6.66</v>
      </c>
      <c r="W78" s="1">
        <v>5</v>
      </c>
      <c r="X78" s="1">
        <v>4.4400000000000004</v>
      </c>
      <c r="Y78" s="1">
        <v>3.2</v>
      </c>
      <c r="Z78" s="1">
        <v>5.6</v>
      </c>
      <c r="AA78" s="1">
        <v>6.39</v>
      </c>
      <c r="AB78" s="1">
        <v>7.19</v>
      </c>
      <c r="AC78" s="1">
        <v>8.86</v>
      </c>
      <c r="AD78" s="1">
        <v>8.44</v>
      </c>
      <c r="AE78" s="1">
        <v>8.3699999999999992</v>
      </c>
      <c r="AF78" s="1">
        <v>2.38</v>
      </c>
      <c r="AG78" s="1">
        <v>2.83</v>
      </c>
      <c r="AH78" s="1">
        <v>1.1000000000000001</v>
      </c>
      <c r="AI78" s="1">
        <v>0.31</v>
      </c>
      <c r="AJ78" s="1">
        <v>1.2</v>
      </c>
      <c r="AK78" s="1">
        <v>1.65</v>
      </c>
      <c r="AL78" s="1">
        <v>2.7</v>
      </c>
      <c r="AM78" s="1">
        <v>3.69</v>
      </c>
      <c r="AN78" s="1">
        <v>4.47</v>
      </c>
      <c r="AO78" s="1">
        <v>5.47</v>
      </c>
      <c r="AP78" s="1">
        <v>5.6</v>
      </c>
      <c r="AQ78" s="1">
        <v>4.32</v>
      </c>
      <c r="AR78" s="1">
        <v>4</v>
      </c>
      <c r="AS78" s="1">
        <v>3.02</v>
      </c>
      <c r="AT78" s="1">
        <v>3</v>
      </c>
      <c r="AU78" s="1">
        <v>2.81</v>
      </c>
      <c r="AV78" s="1">
        <v>3.29</v>
      </c>
      <c r="AW78" s="1">
        <v>3.9</v>
      </c>
      <c r="AX78" s="1">
        <v>4.1399999999999997</v>
      </c>
      <c r="AY78" s="1">
        <v>4.3</v>
      </c>
      <c r="AZ78" s="1">
        <v>5</v>
      </c>
      <c r="BA78" s="1">
        <v>6.43</v>
      </c>
      <c r="BB78" s="1">
        <v>6.59</v>
      </c>
      <c r="BC78" s="1">
        <v>2.61</v>
      </c>
      <c r="BD78" s="1">
        <v>0.97</v>
      </c>
      <c r="BE78" s="1">
        <v>1.85</v>
      </c>
      <c r="BF78" s="1">
        <v>2.5499999999999998</v>
      </c>
      <c r="BG78" s="1">
        <v>3.46</v>
      </c>
      <c r="BH78" s="1">
        <v>3.76</v>
      </c>
      <c r="BI78" s="1">
        <v>3.93</v>
      </c>
      <c r="BJ78" s="1">
        <v>4.68</v>
      </c>
      <c r="BK78" s="1">
        <v>5.56</v>
      </c>
      <c r="BL78" s="1">
        <v>6.16</v>
      </c>
      <c r="BM78" s="1">
        <v>6.76</v>
      </c>
      <c r="BN78" s="1">
        <v>7.03</v>
      </c>
      <c r="BO78" s="1">
        <v>7.25</v>
      </c>
      <c r="BP78" s="1">
        <v>6.58</v>
      </c>
      <c r="BQ78" s="1">
        <v>8.81</v>
      </c>
      <c r="BR78" s="1">
        <v>4.88</v>
      </c>
      <c r="BS78" s="1">
        <v>5.27</v>
      </c>
      <c r="BT78" s="1">
        <v>6.18</v>
      </c>
      <c r="BU78" s="1">
        <v>6.68</v>
      </c>
      <c r="BV78" s="1">
        <v>7.04</v>
      </c>
      <c r="BW78" s="1">
        <v>7</v>
      </c>
      <c r="BX78" s="1">
        <v>7.62</v>
      </c>
      <c r="BY78" s="1">
        <v>8.02</v>
      </c>
      <c r="BZ78" s="1">
        <v>8.44</v>
      </c>
      <c r="CA78" s="1">
        <v>8.8000000000000007</v>
      </c>
      <c r="CB78" s="1">
        <v>8.2899999999999991</v>
      </c>
      <c r="CC78" s="1">
        <v>8.43</v>
      </c>
      <c r="CD78" s="1">
        <v>8.7100000000000009</v>
      </c>
      <c r="CE78" s="1">
        <v>8.9600000000000009</v>
      </c>
      <c r="CF78" s="1">
        <v>9.3000000000000007</v>
      </c>
      <c r="CG78" s="1">
        <v>9.5500000000000007</v>
      </c>
      <c r="CH78" s="1">
        <v>9.83</v>
      </c>
      <c r="CI78" s="1">
        <v>9.68</v>
      </c>
      <c r="CJ78" s="1">
        <v>9.94</v>
      </c>
      <c r="CK78" s="1">
        <v>10.73</v>
      </c>
      <c r="CL78" s="1">
        <v>10.87</v>
      </c>
      <c r="CM78" s="1">
        <v>10.47</v>
      </c>
      <c r="CN78" s="1">
        <v>9.18</v>
      </c>
      <c r="CO78" s="1">
        <v>8.85</v>
      </c>
      <c r="CP78" s="1">
        <v>6.25</v>
      </c>
      <c r="CQ78" s="1">
        <v>6.74</v>
      </c>
      <c r="CR78" s="1">
        <v>6.94</v>
      </c>
      <c r="CS78" s="1">
        <v>7.18</v>
      </c>
      <c r="CT78" s="1">
        <v>7.53</v>
      </c>
      <c r="CU78" s="1">
        <v>7.84</v>
      </c>
      <c r="CV78" s="1">
        <v>8.64</v>
      </c>
      <c r="CW78" s="1">
        <v>9.16</v>
      </c>
      <c r="CX78" s="1">
        <v>9.16</v>
      </c>
      <c r="CY78" s="1">
        <v>9.01</v>
      </c>
      <c r="CZ78" s="1">
        <v>6.16</v>
      </c>
      <c r="DA78" s="1">
        <v>6.87</v>
      </c>
      <c r="DB78" s="1">
        <v>5.7</v>
      </c>
      <c r="DC78" s="1">
        <v>6.61</v>
      </c>
      <c r="DD78" s="1">
        <v>6.97</v>
      </c>
      <c r="DE78" s="1">
        <v>7.45</v>
      </c>
      <c r="DF78" s="1">
        <v>7.92</v>
      </c>
      <c r="DG78" s="1">
        <v>8.1199999999999992</v>
      </c>
      <c r="DH78" s="1">
        <v>9.0399999999999991</v>
      </c>
      <c r="DI78" s="1">
        <v>9.43</v>
      </c>
      <c r="DJ78" s="1">
        <v>8.84</v>
      </c>
      <c r="DK78" s="1">
        <v>8.06</v>
      </c>
      <c r="DL78" s="1">
        <v>8.16</v>
      </c>
      <c r="DM78" s="1">
        <v>3.12</v>
      </c>
      <c r="DN78" s="1">
        <v>2.68</v>
      </c>
      <c r="DO78" s="1">
        <v>2.25</v>
      </c>
      <c r="DP78" s="1">
        <v>3.21</v>
      </c>
      <c r="DQ78" s="1">
        <v>4.28</v>
      </c>
      <c r="DR78" s="1">
        <v>5.0999999999999996</v>
      </c>
      <c r="DS78" s="1">
        <v>5.08</v>
      </c>
      <c r="DT78" s="1">
        <v>5.85</v>
      </c>
      <c r="DU78" s="1">
        <v>6.2</v>
      </c>
      <c r="DV78" s="1">
        <v>6.74</v>
      </c>
      <c r="DW78" s="1">
        <v>7.31</v>
      </c>
      <c r="DX78" s="1">
        <v>7.34</v>
      </c>
      <c r="DY78" s="1">
        <v>7</v>
      </c>
      <c r="DZ78" s="1">
        <v>6.71</v>
      </c>
      <c r="EA78" s="1">
        <v>6.39</v>
      </c>
      <c r="EB78" s="1">
        <v>7</v>
      </c>
      <c r="EC78" s="1">
        <v>7.24</v>
      </c>
      <c r="ED78" s="1">
        <v>7.69</v>
      </c>
      <c r="EE78" s="1">
        <v>8</v>
      </c>
      <c r="EF78" s="1">
        <v>8.5299999999999994</v>
      </c>
      <c r="EG78" s="1">
        <v>8.59</v>
      </c>
      <c r="EH78" s="1">
        <v>8.3800000000000008</v>
      </c>
      <c r="EI78" s="1">
        <v>7.71</v>
      </c>
      <c r="EJ78" s="1">
        <v>7.48</v>
      </c>
      <c r="EK78" s="1">
        <v>5.47</v>
      </c>
      <c r="EL78" s="1">
        <v>3.89</v>
      </c>
      <c r="EM78" s="1">
        <v>4.24</v>
      </c>
      <c r="EN78" s="1">
        <v>5.21</v>
      </c>
      <c r="EO78" s="1">
        <v>6.05</v>
      </c>
      <c r="EP78" s="1">
        <v>6.31</v>
      </c>
      <c r="EQ78" s="1">
        <v>6.77</v>
      </c>
      <c r="ER78" s="1">
        <v>6.94</v>
      </c>
      <c r="ES78" s="1">
        <v>7.41</v>
      </c>
      <c r="ET78" s="1">
        <v>8</v>
      </c>
      <c r="EU78" s="1">
        <v>7</v>
      </c>
      <c r="EV78" s="1">
        <v>2.0299999999999998</v>
      </c>
      <c r="EW78" s="1">
        <v>1.46</v>
      </c>
      <c r="EX78" s="1">
        <v>2.0099999999999998</v>
      </c>
      <c r="EY78" s="1">
        <v>2.2999999999999998</v>
      </c>
      <c r="EZ78" s="1">
        <v>2.59</v>
      </c>
      <c r="FA78" s="1">
        <v>3.17</v>
      </c>
      <c r="FB78" s="1">
        <v>3.6</v>
      </c>
      <c r="FC78" s="1">
        <v>5.05</v>
      </c>
      <c r="FD78" s="1">
        <v>5.67</v>
      </c>
      <c r="FE78" s="1">
        <v>6.19</v>
      </c>
      <c r="FF78" s="1">
        <v>6.98</v>
      </c>
      <c r="FG78" s="1">
        <v>7.45</v>
      </c>
      <c r="FH78" s="1">
        <v>6.57</v>
      </c>
      <c r="FI78" s="1">
        <v>6.11</v>
      </c>
      <c r="FJ78" s="1">
        <v>4.8099999999999996</v>
      </c>
      <c r="FK78" s="1">
        <v>4.96</v>
      </c>
      <c r="FL78" s="1">
        <v>5.51</v>
      </c>
      <c r="FM78" s="1">
        <v>5.58</v>
      </c>
      <c r="FN78" s="1">
        <v>6.3</v>
      </c>
      <c r="FO78" s="1">
        <v>6.93</v>
      </c>
      <c r="FP78" s="1">
        <v>7.47</v>
      </c>
      <c r="FQ78" s="1">
        <v>7.94</v>
      </c>
      <c r="FR78" s="1">
        <v>7.66</v>
      </c>
      <c r="FS78" s="1">
        <v>5.16</v>
      </c>
      <c r="FT78" s="1">
        <v>3.21</v>
      </c>
      <c r="FU78" s="1">
        <v>2.23</v>
      </c>
      <c r="FV78" s="1">
        <v>0.75</v>
      </c>
      <c r="FW78" s="1">
        <v>1.06</v>
      </c>
      <c r="FX78" s="1">
        <v>1.26</v>
      </c>
      <c r="FY78" s="1">
        <v>1.83</v>
      </c>
      <c r="FZ78" s="1">
        <v>2.1</v>
      </c>
      <c r="GA78" s="1">
        <v>3.16</v>
      </c>
      <c r="GB78" s="1">
        <v>3.91</v>
      </c>
      <c r="GC78" s="1">
        <v>4.5599999999999996</v>
      </c>
      <c r="GD78" s="1">
        <v>5.51</v>
      </c>
      <c r="GE78" s="1">
        <v>5.85</v>
      </c>
      <c r="GF78" s="1">
        <v>6.21</v>
      </c>
      <c r="GG78" s="1">
        <v>6.37</v>
      </c>
      <c r="GH78" s="1">
        <v>4.96</v>
      </c>
      <c r="GI78" s="1">
        <v>7.21</v>
      </c>
      <c r="GJ78" s="1">
        <v>7.61</v>
      </c>
      <c r="GK78" s="1">
        <v>7.73</v>
      </c>
      <c r="GL78" s="1">
        <v>7.98</v>
      </c>
      <c r="GM78" s="1">
        <v>8.3800000000000008</v>
      </c>
      <c r="GN78" s="1">
        <v>8.86</v>
      </c>
      <c r="GO78" s="1">
        <v>9.18</v>
      </c>
      <c r="GP78" s="1">
        <v>9.7100000000000009</v>
      </c>
      <c r="GQ78" s="1">
        <v>9.06</v>
      </c>
      <c r="GR78" s="1">
        <v>6.96</v>
      </c>
      <c r="GS78" s="1">
        <v>6.23</v>
      </c>
      <c r="GT78" s="1">
        <v>5.1100000000000003</v>
      </c>
      <c r="GU78" s="1">
        <v>3.19</v>
      </c>
      <c r="GV78" s="1">
        <v>4.37</v>
      </c>
      <c r="GW78" s="1">
        <v>4.92</v>
      </c>
      <c r="GX78" s="1">
        <v>5.51</v>
      </c>
      <c r="GY78" s="1">
        <v>6.04</v>
      </c>
      <c r="GZ78" s="1">
        <v>6.69</v>
      </c>
      <c r="HA78" s="1">
        <v>7.41</v>
      </c>
      <c r="HB78" s="1">
        <v>7.68</v>
      </c>
      <c r="HC78" s="1">
        <v>7.6</v>
      </c>
      <c r="HD78" s="1">
        <v>5.58</v>
      </c>
      <c r="HE78" s="1">
        <v>4.7699999999999996</v>
      </c>
      <c r="HF78" s="1">
        <v>2.97</v>
      </c>
      <c r="HG78" s="1">
        <v>1.65</v>
      </c>
      <c r="HH78" s="1">
        <v>2.2799999999999998</v>
      </c>
      <c r="HI78" s="1">
        <v>2.99</v>
      </c>
      <c r="HJ78" s="1">
        <v>3.96</v>
      </c>
      <c r="HK78" s="1">
        <v>4.6500000000000004</v>
      </c>
      <c r="HL78" s="1">
        <v>5.88</v>
      </c>
      <c r="HM78" s="1">
        <v>6.73</v>
      </c>
      <c r="HN78" s="1">
        <v>7.43</v>
      </c>
      <c r="HO78" s="1">
        <v>7.78</v>
      </c>
      <c r="HP78" s="1">
        <v>7.48</v>
      </c>
      <c r="HQ78" s="1">
        <v>3.71</v>
      </c>
      <c r="HR78" s="1">
        <v>4.78</v>
      </c>
      <c r="HS78" s="1">
        <v>4.5599999999999996</v>
      </c>
      <c r="HT78" s="1">
        <v>5.28</v>
      </c>
      <c r="HU78" s="1">
        <v>5.81</v>
      </c>
      <c r="HV78" s="1">
        <v>6.28</v>
      </c>
      <c r="HW78" s="1">
        <v>6.81</v>
      </c>
      <c r="HX78" s="1">
        <v>7.31</v>
      </c>
      <c r="HY78" s="1">
        <v>7.99</v>
      </c>
      <c r="HZ78" s="1">
        <v>4.0599999999999996</v>
      </c>
      <c r="IA78" s="1">
        <v>5.85</v>
      </c>
      <c r="IB78" s="1">
        <v>4.17</v>
      </c>
      <c r="IC78" s="1">
        <v>4.0599999999999996</v>
      </c>
      <c r="ID78" s="1">
        <v>4.79</v>
      </c>
      <c r="IE78" s="1">
        <v>5.74</v>
      </c>
      <c r="IF78" s="1">
        <v>6.17</v>
      </c>
      <c r="IG78" s="1">
        <v>6.62</v>
      </c>
      <c r="IH78" s="1">
        <v>7.21</v>
      </c>
      <c r="II78" s="1">
        <v>7.52</v>
      </c>
      <c r="IJ78" s="1">
        <v>8.44</v>
      </c>
      <c r="IK78" s="1">
        <v>8.8800000000000008</v>
      </c>
      <c r="IL78" s="1">
        <v>9.18</v>
      </c>
      <c r="IM78" s="1">
        <v>8.34</v>
      </c>
      <c r="IN78" s="1">
        <v>7.92</v>
      </c>
      <c r="IO78" s="1">
        <v>5.77</v>
      </c>
      <c r="IP78" s="1">
        <v>3.15</v>
      </c>
      <c r="IQ78" s="1">
        <v>3.62</v>
      </c>
      <c r="IR78" s="1">
        <v>4.4800000000000004</v>
      </c>
      <c r="IS78" s="1">
        <v>5.05</v>
      </c>
      <c r="IT78" s="1">
        <v>5.81</v>
      </c>
      <c r="IU78" s="1">
        <v>6.39</v>
      </c>
      <c r="IV78" s="1">
        <v>7.28</v>
      </c>
      <c r="IW78" s="1">
        <v>8.01</v>
      </c>
      <c r="IX78" s="1">
        <v>8.0399999999999991</v>
      </c>
      <c r="IY78" s="1">
        <v>6.56</v>
      </c>
      <c r="IZ78" s="1">
        <v>5.37</v>
      </c>
      <c r="JA78" s="1">
        <v>4.54</v>
      </c>
      <c r="JB78" s="1">
        <v>4.43</v>
      </c>
      <c r="JC78" s="1">
        <v>2.8</v>
      </c>
      <c r="JD78" s="1">
        <v>4.97</v>
      </c>
      <c r="JE78" s="1">
        <v>5.7</v>
      </c>
      <c r="JF78" s="1">
        <v>6.32</v>
      </c>
      <c r="JG78" s="1">
        <v>6.94</v>
      </c>
      <c r="JH78" s="1">
        <v>7.36</v>
      </c>
      <c r="JI78" s="1">
        <v>8.33</v>
      </c>
      <c r="JJ78" s="1">
        <v>8.4499999999999993</v>
      </c>
      <c r="JK78" s="1">
        <v>7.29</v>
      </c>
      <c r="JL78" s="1">
        <v>6.26</v>
      </c>
      <c r="JM78" s="1">
        <v>4.13</v>
      </c>
      <c r="JN78" s="1">
        <v>4.68</v>
      </c>
      <c r="JO78" s="1">
        <v>3.89</v>
      </c>
      <c r="JP78" s="1">
        <v>4.96</v>
      </c>
      <c r="JQ78" s="1">
        <v>5.13</v>
      </c>
      <c r="JR78" s="1">
        <v>5.58</v>
      </c>
      <c r="JS78" s="1">
        <v>6.16</v>
      </c>
      <c r="JT78" s="1">
        <v>7.02</v>
      </c>
      <c r="JU78" s="1">
        <v>7.11</v>
      </c>
      <c r="JV78" s="1">
        <v>7.83</v>
      </c>
      <c r="JW78" s="1">
        <v>8.0299999999999994</v>
      </c>
      <c r="JX78" s="1">
        <v>7.17</v>
      </c>
      <c r="JY78" s="1">
        <v>2.2999999999999998</v>
      </c>
      <c r="JZ78" s="1">
        <v>1.56</v>
      </c>
      <c r="KA78" s="1">
        <v>2.61</v>
      </c>
      <c r="KB78" s="1">
        <v>2.68</v>
      </c>
      <c r="KC78" s="1">
        <v>4.63</v>
      </c>
      <c r="KD78" s="1">
        <v>5.54</v>
      </c>
      <c r="KE78" s="1"/>
      <c r="KF78" s="1"/>
      <c r="KG78" s="1">
        <v>7.99</v>
      </c>
      <c r="KH78" s="1">
        <v>7.16</v>
      </c>
      <c r="KI78" s="1">
        <v>6.34</v>
      </c>
      <c r="KJ78" s="1">
        <v>4.84</v>
      </c>
      <c r="KK78" s="1">
        <v>4.0199999999999996</v>
      </c>
      <c r="KL78" s="1">
        <v>0.28999999999999998</v>
      </c>
      <c r="KM78" s="1">
        <v>1.24</v>
      </c>
      <c r="KN78" s="1">
        <v>1.84</v>
      </c>
      <c r="KO78" s="1">
        <v>2.7</v>
      </c>
      <c r="KP78" s="1">
        <v>3.46</v>
      </c>
      <c r="KQ78" s="1">
        <v>4.75</v>
      </c>
      <c r="KR78" s="1">
        <v>4.88</v>
      </c>
      <c r="KS78" s="1">
        <v>7.12</v>
      </c>
      <c r="KT78" s="1">
        <v>7.01</v>
      </c>
      <c r="KU78" s="1">
        <v>6.39</v>
      </c>
      <c r="KV78" s="1">
        <v>5.74</v>
      </c>
      <c r="KW78" s="1">
        <v>5.0999999999999996</v>
      </c>
      <c r="KX78" s="1">
        <v>1.82</v>
      </c>
      <c r="KY78" s="1">
        <v>2.59</v>
      </c>
      <c r="KZ78" s="1">
        <v>3.24</v>
      </c>
      <c r="LA78" s="1">
        <v>5.29</v>
      </c>
      <c r="LB78" s="1">
        <v>6.26</v>
      </c>
      <c r="LC78" s="1">
        <v>7.13</v>
      </c>
      <c r="LD78" s="1">
        <v>8.1300000000000008</v>
      </c>
      <c r="LE78" s="1">
        <v>8.64</v>
      </c>
      <c r="LF78" s="1">
        <v>7.74</v>
      </c>
      <c r="LG78" s="1">
        <v>8.19</v>
      </c>
      <c r="LH78" s="1">
        <v>7.57</v>
      </c>
      <c r="LI78" s="1">
        <v>5.1100000000000003</v>
      </c>
      <c r="LJ78" s="1">
        <v>3.4400000000000004</v>
      </c>
      <c r="LK78" s="1">
        <v>4.2500000000000009</v>
      </c>
      <c r="LL78" s="1">
        <v>4.74</v>
      </c>
      <c r="LM78" s="1">
        <v>5.6400000000000006</v>
      </c>
      <c r="LN78" s="1">
        <v>6.69</v>
      </c>
      <c r="LO78" s="1">
        <v>7.3900000000000006</v>
      </c>
      <c r="LP78" s="1">
        <v>8.24</v>
      </c>
      <c r="LQ78" s="1">
        <v>8.57</v>
      </c>
      <c r="LR78" s="1">
        <v>10.3</v>
      </c>
      <c r="LS78" s="1">
        <v>8.7900000000000009</v>
      </c>
      <c r="LT78" s="1">
        <v>7.34</v>
      </c>
      <c r="LU78" s="1">
        <v>7.0400000000000009</v>
      </c>
      <c r="LV78" s="1">
        <v>7.49</v>
      </c>
      <c r="LW78" s="1">
        <v>8.5500000000000007</v>
      </c>
      <c r="LX78" s="1">
        <v>7.5500000000000007</v>
      </c>
      <c r="LY78" s="1">
        <v>8.1300000000000008</v>
      </c>
      <c r="LZ78" s="1">
        <v>8.870000000000001</v>
      </c>
      <c r="MA78" s="1">
        <v>9.14</v>
      </c>
      <c r="MB78" s="1">
        <v>10.39</v>
      </c>
      <c r="MC78" s="1">
        <v>10.86</v>
      </c>
      <c r="MD78" s="1">
        <v>10.48</v>
      </c>
      <c r="ME78" s="1">
        <v>6.84</v>
      </c>
      <c r="MF78" s="1">
        <v>4.79</v>
      </c>
      <c r="MG78" s="1">
        <v>1.5899999999999999</v>
      </c>
      <c r="MH78" s="1">
        <v>0.24</v>
      </c>
      <c r="MI78" s="1">
        <v>1.64</v>
      </c>
      <c r="MJ78" s="1">
        <v>2.74</v>
      </c>
      <c r="MK78" s="1">
        <v>4.1900000000000004</v>
      </c>
      <c r="ML78" s="1">
        <v>5.84</v>
      </c>
      <c r="MM78" s="1">
        <v>6.5400000000000009</v>
      </c>
      <c r="MN78" s="1">
        <v>8.0400000000000009</v>
      </c>
      <c r="MO78" s="1">
        <v>8.5</v>
      </c>
      <c r="MP78" s="1">
        <v>8.64</v>
      </c>
      <c r="MQ78" s="1">
        <v>9.44</v>
      </c>
      <c r="MR78" s="1">
        <v>3.74</v>
      </c>
      <c r="MS78" s="1">
        <v>3.34</v>
      </c>
      <c r="MT78">
        <v>3.44</v>
      </c>
      <c r="MU78">
        <v>2.85</v>
      </c>
    </row>
    <row r="79" spans="1:359" ht="15.75" x14ac:dyDescent="0.25">
      <c r="A79" s="8" t="s">
        <v>0</v>
      </c>
      <c r="B79" s="39">
        <v>20496</v>
      </c>
      <c r="C79" s="39" t="s">
        <v>116</v>
      </c>
      <c r="D79" s="39" t="s">
        <v>125</v>
      </c>
      <c r="E79" s="39" t="s">
        <v>139</v>
      </c>
      <c r="F79" s="39" t="s">
        <v>140</v>
      </c>
      <c r="G79" s="39" t="s">
        <v>209</v>
      </c>
      <c r="H79" s="41">
        <v>42</v>
      </c>
      <c r="I79" s="39" t="s">
        <v>124</v>
      </c>
      <c r="J79" s="40">
        <v>72.246700000000004</v>
      </c>
      <c r="K79" s="39">
        <v>17.064316999999999</v>
      </c>
      <c r="L79" s="39">
        <v>80.396381000000005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>
        <v>7.51</v>
      </c>
      <c r="BW79" s="1">
        <v>7.82</v>
      </c>
      <c r="BX79" s="1">
        <v>8.0399999999999991</v>
      </c>
      <c r="BY79" s="1">
        <v>8.5399999999999991</v>
      </c>
      <c r="BZ79" s="1">
        <v>8.5</v>
      </c>
      <c r="CA79" s="1">
        <v>9.01</v>
      </c>
      <c r="CB79" s="1">
        <v>7.38</v>
      </c>
      <c r="CC79" s="1">
        <v>7.29</v>
      </c>
      <c r="CD79" s="1">
        <v>6.07</v>
      </c>
      <c r="CE79" s="1">
        <v>6.61</v>
      </c>
      <c r="CF79" s="1">
        <v>7.42</v>
      </c>
      <c r="CG79" s="1">
        <v>8.24</v>
      </c>
      <c r="CH79" s="1">
        <v>8.93</v>
      </c>
      <c r="CI79" s="1">
        <v>9.01</v>
      </c>
      <c r="CJ79" s="1">
        <v>9.39</v>
      </c>
      <c r="CK79" s="1">
        <v>10.119999999999999</v>
      </c>
      <c r="CL79" s="1">
        <v>10.31</v>
      </c>
      <c r="CM79" s="1">
        <v>8.68</v>
      </c>
      <c r="CN79" s="1">
        <v>5.17</v>
      </c>
      <c r="CO79" s="1">
        <v>5.64</v>
      </c>
      <c r="CP79" s="1">
        <v>5.93</v>
      </c>
      <c r="CQ79" s="1">
        <v>5.54</v>
      </c>
      <c r="CR79" s="1">
        <v>6.66</v>
      </c>
      <c r="CS79" s="1">
        <v>7.21</v>
      </c>
      <c r="CT79" s="1">
        <v>7.8</v>
      </c>
      <c r="CU79" s="1">
        <v>8.5500000000000007</v>
      </c>
      <c r="CV79" s="1">
        <v>9.24</v>
      </c>
      <c r="CW79" s="1">
        <v>9.9</v>
      </c>
      <c r="CX79" s="1">
        <v>9.99</v>
      </c>
      <c r="CY79" s="1">
        <v>8.65</v>
      </c>
      <c r="CZ79" s="1">
        <v>5.08</v>
      </c>
      <c r="DA79" s="1">
        <v>5.89</v>
      </c>
      <c r="DB79" s="1">
        <v>5.29</v>
      </c>
      <c r="DC79" s="1">
        <v>6.06</v>
      </c>
      <c r="DD79" s="1">
        <v>6.53</v>
      </c>
      <c r="DE79" s="1">
        <v>7.25</v>
      </c>
      <c r="DF79" s="1">
        <v>7.72</v>
      </c>
      <c r="DG79" s="1">
        <v>5.37</v>
      </c>
      <c r="DH79" s="1">
        <v>9.1999999999999993</v>
      </c>
      <c r="DI79" s="1">
        <v>9.6</v>
      </c>
      <c r="DJ79" s="1">
        <v>9</v>
      </c>
      <c r="DK79" s="1">
        <v>8.4499999999999993</v>
      </c>
      <c r="DL79" s="1">
        <v>6.96</v>
      </c>
      <c r="DM79" s="1">
        <v>2.27</v>
      </c>
      <c r="DN79" s="1">
        <v>1.65</v>
      </c>
      <c r="DO79" s="1">
        <v>1.75</v>
      </c>
      <c r="DP79" s="1">
        <v>2.61</v>
      </c>
      <c r="DQ79" s="1">
        <v>4.0199999999999996</v>
      </c>
      <c r="DR79" s="1">
        <v>4.7</v>
      </c>
      <c r="DS79" s="1">
        <v>4.93</v>
      </c>
      <c r="DT79" s="1">
        <v>4.9000000000000004</v>
      </c>
      <c r="DU79" s="1">
        <v>5.65</v>
      </c>
      <c r="DV79" s="1">
        <v>6.43</v>
      </c>
      <c r="DW79" s="1">
        <v>7.2</v>
      </c>
      <c r="DX79" s="1">
        <v>4.5</v>
      </c>
      <c r="DY79" s="1">
        <v>3.71</v>
      </c>
      <c r="DZ79" s="1">
        <v>2.8</v>
      </c>
      <c r="EA79" s="1">
        <v>3.69</v>
      </c>
      <c r="EB79" s="1">
        <v>4.17</v>
      </c>
      <c r="EC79" s="1">
        <v>5.0199999999999996</v>
      </c>
      <c r="ED79" s="1">
        <v>5.87</v>
      </c>
      <c r="EE79" s="1">
        <v>6.16</v>
      </c>
      <c r="EF79" s="1">
        <v>7.27</v>
      </c>
      <c r="EG79" s="1">
        <v>7.68</v>
      </c>
      <c r="EH79" s="1">
        <v>8.18</v>
      </c>
      <c r="EI79" s="1">
        <v>7.43</v>
      </c>
      <c r="EJ79" s="1">
        <v>6.59</v>
      </c>
      <c r="EK79" s="1">
        <v>5.57</v>
      </c>
      <c r="EL79" s="1">
        <v>4.4400000000000004</v>
      </c>
      <c r="EM79" s="1">
        <v>5.03</v>
      </c>
      <c r="EN79" s="1">
        <v>5.64</v>
      </c>
      <c r="EO79" s="1">
        <v>6.2</v>
      </c>
      <c r="EP79" s="1">
        <v>7.02</v>
      </c>
      <c r="EQ79" s="1">
        <v>7.05</v>
      </c>
      <c r="ER79" s="1">
        <v>7.52</v>
      </c>
      <c r="ES79" s="1">
        <v>7.8</v>
      </c>
      <c r="ET79" s="1">
        <v>8.07</v>
      </c>
      <c r="EU79" s="1">
        <v>8.64</v>
      </c>
      <c r="EV79" s="1">
        <v>1.56</v>
      </c>
      <c r="EW79" s="1">
        <v>0.85</v>
      </c>
      <c r="EX79" s="1">
        <v>2.37</v>
      </c>
      <c r="EY79" s="1">
        <v>3.03</v>
      </c>
      <c r="EZ79" s="1">
        <v>4.12</v>
      </c>
      <c r="FA79" s="1">
        <v>5.07</v>
      </c>
      <c r="FB79" s="1">
        <v>6.1</v>
      </c>
      <c r="FC79" s="1">
        <v>6.66</v>
      </c>
      <c r="FD79" s="1">
        <v>7.24</v>
      </c>
      <c r="FE79" s="1">
        <v>7.68</v>
      </c>
      <c r="FF79" s="1">
        <v>8.32</v>
      </c>
      <c r="FG79" s="1">
        <v>8.5500000000000007</v>
      </c>
      <c r="FH79" s="1">
        <v>8.09</v>
      </c>
      <c r="FI79" s="1">
        <v>7.82</v>
      </c>
      <c r="FJ79" s="1">
        <v>6.97</v>
      </c>
      <c r="FK79" s="1">
        <v>7.24</v>
      </c>
      <c r="FL79" s="1">
        <v>7.27</v>
      </c>
      <c r="FM79" s="1">
        <v>7.24</v>
      </c>
      <c r="FN79" s="1">
        <v>7.21</v>
      </c>
      <c r="FO79" s="1">
        <v>7.42</v>
      </c>
      <c r="FP79" s="1">
        <v>8.0399999999999991</v>
      </c>
      <c r="FQ79" s="1">
        <v>6.72</v>
      </c>
      <c r="FR79" s="1">
        <v>6.62</v>
      </c>
      <c r="FS79" s="1">
        <v>4.0999999999999996</v>
      </c>
      <c r="FT79" s="1">
        <v>2.09</v>
      </c>
      <c r="FU79" s="1">
        <v>1.17</v>
      </c>
      <c r="FV79" s="1">
        <v>0.97</v>
      </c>
      <c r="FW79" s="1">
        <v>1.47</v>
      </c>
      <c r="FX79" s="1">
        <v>1.77</v>
      </c>
      <c r="FY79" s="1">
        <v>3.02</v>
      </c>
      <c r="FZ79" s="1">
        <v>3.67</v>
      </c>
      <c r="GA79" s="1">
        <v>4.54</v>
      </c>
      <c r="GB79" s="1">
        <v>5.15</v>
      </c>
      <c r="GC79" s="1">
        <v>4.5599999999999996</v>
      </c>
      <c r="GD79" s="1">
        <v>5.68</v>
      </c>
      <c r="GE79" s="1">
        <v>3.35</v>
      </c>
      <c r="GF79" s="1">
        <v>2.92</v>
      </c>
      <c r="GG79" s="1">
        <v>1.64</v>
      </c>
      <c r="GH79" s="1">
        <v>3.02</v>
      </c>
      <c r="GI79" s="1">
        <v>3.47</v>
      </c>
      <c r="GJ79" s="1">
        <v>4.42</v>
      </c>
      <c r="GK79" s="1">
        <v>4.97</v>
      </c>
      <c r="GL79" s="1">
        <v>5.47</v>
      </c>
      <c r="GM79" s="1">
        <v>5.92</v>
      </c>
      <c r="GN79" s="1">
        <v>6.56</v>
      </c>
      <c r="GO79" s="1">
        <v>6.42</v>
      </c>
      <c r="GP79" s="1">
        <v>5.92</v>
      </c>
      <c r="GQ79" s="1">
        <v>3.39</v>
      </c>
      <c r="GR79" s="1">
        <v>2.12</v>
      </c>
      <c r="GS79" s="1">
        <v>0.62</v>
      </c>
      <c r="GT79" s="1">
        <v>1.36</v>
      </c>
      <c r="GU79" s="1">
        <v>0.99</v>
      </c>
      <c r="GV79" s="1">
        <v>2</v>
      </c>
      <c r="GW79" s="1">
        <v>2.9</v>
      </c>
      <c r="GX79" s="1">
        <v>3.54</v>
      </c>
      <c r="GY79" s="1">
        <v>4.47</v>
      </c>
      <c r="GZ79" s="1">
        <v>5.18</v>
      </c>
      <c r="HA79" s="1">
        <v>6.3</v>
      </c>
      <c r="HB79" s="1">
        <v>6.72</v>
      </c>
      <c r="HC79" s="1">
        <v>4.2699999999999996</v>
      </c>
      <c r="HD79" s="1">
        <v>3.47</v>
      </c>
      <c r="HE79" s="1">
        <v>3.47</v>
      </c>
      <c r="HF79" s="1">
        <v>3.52</v>
      </c>
      <c r="HG79" s="1">
        <v>2.29</v>
      </c>
      <c r="HH79" s="1">
        <v>3.02</v>
      </c>
      <c r="HI79" s="1">
        <v>3.67</v>
      </c>
      <c r="HJ79" s="1">
        <v>4.3899999999999997</v>
      </c>
      <c r="HK79" s="1">
        <v>4.7699999999999996</v>
      </c>
      <c r="HL79" s="1">
        <v>5.53</v>
      </c>
      <c r="HM79" s="1">
        <v>5.94</v>
      </c>
      <c r="HN79" s="1">
        <v>6.41</v>
      </c>
      <c r="HO79" s="1">
        <v>6.75</v>
      </c>
      <c r="HP79" s="1">
        <v>5.25</v>
      </c>
      <c r="HQ79" s="1">
        <v>4.05</v>
      </c>
      <c r="HR79" s="1">
        <v>4.45</v>
      </c>
      <c r="HS79" s="1">
        <v>3.87</v>
      </c>
      <c r="HT79" s="1">
        <v>4.45</v>
      </c>
      <c r="HU79" s="1">
        <v>4.8499999999999996</v>
      </c>
      <c r="HV79" s="1">
        <v>4.6500000000000004</v>
      </c>
      <c r="HW79" s="1">
        <v>5.6</v>
      </c>
      <c r="HX79" s="1">
        <v>5.97</v>
      </c>
      <c r="HY79" s="1">
        <v>6.25</v>
      </c>
      <c r="HZ79" s="1">
        <v>3.27</v>
      </c>
      <c r="IA79" s="1">
        <v>3.59</v>
      </c>
      <c r="IB79" s="1">
        <v>3.85</v>
      </c>
      <c r="IC79" s="1">
        <v>2.82</v>
      </c>
      <c r="ID79" s="1">
        <v>2.92</v>
      </c>
      <c r="IE79" s="1">
        <v>4.5</v>
      </c>
      <c r="IF79" s="1">
        <v>5.03</v>
      </c>
      <c r="IG79" s="1">
        <v>5.36</v>
      </c>
      <c r="IH79" s="1">
        <v>5.92</v>
      </c>
      <c r="II79" s="1">
        <v>6.67</v>
      </c>
      <c r="IJ79" s="1">
        <v>7.56</v>
      </c>
      <c r="IK79" s="1">
        <v>7.93</v>
      </c>
      <c r="IL79" s="1">
        <v>7.21</v>
      </c>
      <c r="IM79" s="1">
        <v>5</v>
      </c>
      <c r="IN79" s="1">
        <v>4.88</v>
      </c>
      <c r="IO79" s="1">
        <v>3.05</v>
      </c>
      <c r="IP79" s="1">
        <v>2.02</v>
      </c>
      <c r="IQ79" s="1">
        <v>3.42</v>
      </c>
      <c r="IR79" s="1">
        <v>4.3600000000000003</v>
      </c>
      <c r="IS79" s="1">
        <v>4.91</v>
      </c>
      <c r="IT79" s="1">
        <v>5.31</v>
      </c>
      <c r="IU79" s="1">
        <v>5.56</v>
      </c>
      <c r="IV79" s="1">
        <v>6.1</v>
      </c>
      <c r="IW79" s="1">
        <v>6.8</v>
      </c>
      <c r="IX79" s="1">
        <v>6.57</v>
      </c>
      <c r="IY79" s="1">
        <v>3.96</v>
      </c>
      <c r="IZ79" s="1">
        <v>2.11</v>
      </c>
      <c r="JA79" s="1">
        <v>1.41</v>
      </c>
      <c r="JB79" s="1">
        <v>1.33</v>
      </c>
      <c r="JC79" s="1">
        <v>2.93</v>
      </c>
      <c r="JD79" s="1">
        <v>3.99</v>
      </c>
      <c r="JE79" s="1">
        <v>4.76</v>
      </c>
      <c r="JF79" s="1">
        <v>5.27</v>
      </c>
      <c r="JG79" s="1">
        <v>5.71</v>
      </c>
      <c r="JH79" s="1">
        <v>6.09</v>
      </c>
      <c r="JI79" s="1">
        <v>7.11</v>
      </c>
      <c r="JJ79" s="1">
        <v>6.89</v>
      </c>
      <c r="JK79" s="1">
        <v>4.88</v>
      </c>
      <c r="JL79" s="1">
        <v>1</v>
      </c>
      <c r="JM79" s="1">
        <v>1.1200000000000001</v>
      </c>
      <c r="JN79" s="1">
        <v>3.11</v>
      </c>
      <c r="JO79" s="1">
        <v>3.97</v>
      </c>
      <c r="JP79" s="1">
        <v>3.97</v>
      </c>
      <c r="JQ79" s="1">
        <v>4.6100000000000003</v>
      </c>
      <c r="JR79" s="1">
        <v>5</v>
      </c>
      <c r="JS79" s="1">
        <v>5.55</v>
      </c>
      <c r="JT79" s="1">
        <v>6.36</v>
      </c>
      <c r="JU79" s="1">
        <v>7.25</v>
      </c>
      <c r="JV79" s="1">
        <v>7.82</v>
      </c>
      <c r="JW79" s="1">
        <v>8.26</v>
      </c>
      <c r="JX79" s="1">
        <v>4.5999999999999996</v>
      </c>
      <c r="JY79" s="1">
        <v>6.55</v>
      </c>
      <c r="JZ79" s="1">
        <v>0.7</v>
      </c>
      <c r="KA79" s="1">
        <v>1.72</v>
      </c>
      <c r="KB79" s="1">
        <v>2.44</v>
      </c>
      <c r="KC79" s="1">
        <v>2.56</v>
      </c>
      <c r="KD79" s="1">
        <v>3.37</v>
      </c>
      <c r="KE79" s="1"/>
      <c r="KF79" s="1"/>
      <c r="KG79" s="1">
        <v>5.47</v>
      </c>
      <c r="KH79" s="1">
        <v>4.17</v>
      </c>
      <c r="KI79" s="1">
        <v>0.67</v>
      </c>
      <c r="KJ79" s="1">
        <v>0.54</v>
      </c>
      <c r="KK79" s="1">
        <v>0.42</v>
      </c>
      <c r="KL79" s="1">
        <v>0.72</v>
      </c>
      <c r="KM79" s="1">
        <v>1.57</v>
      </c>
      <c r="KN79" s="1">
        <v>1.88</v>
      </c>
      <c r="KO79" s="1">
        <v>2.58</v>
      </c>
      <c r="KP79" s="1">
        <v>3.72</v>
      </c>
      <c r="KQ79" s="1">
        <v>4.1399999999999997</v>
      </c>
      <c r="KR79" s="1">
        <v>4.84</v>
      </c>
      <c r="KS79" s="1">
        <v>5.12</v>
      </c>
      <c r="KT79" s="1">
        <v>5.08</v>
      </c>
      <c r="KU79" s="1">
        <v>2.2799999999999998</v>
      </c>
      <c r="KV79" s="1">
        <v>2.13</v>
      </c>
      <c r="KW79" s="1">
        <v>1.91</v>
      </c>
      <c r="KX79" s="1">
        <v>1.0900000000000001</v>
      </c>
      <c r="KY79" s="1">
        <v>1.17</v>
      </c>
      <c r="KZ79" s="1">
        <v>2.34</v>
      </c>
      <c r="LA79" s="1">
        <v>2.5299999999999998</v>
      </c>
      <c r="LB79" s="1">
        <v>2.61</v>
      </c>
      <c r="LC79" s="1">
        <v>2.84</v>
      </c>
      <c r="LD79" s="1">
        <v>4.0199999999999996</v>
      </c>
      <c r="LE79" s="1">
        <v>5.62</v>
      </c>
      <c r="LF79" s="1">
        <v>5.45</v>
      </c>
      <c r="LG79" s="1">
        <v>1.22</v>
      </c>
      <c r="LH79" s="1">
        <v>1.47</v>
      </c>
      <c r="LI79" s="1">
        <v>2.3600000000000003</v>
      </c>
      <c r="LJ79" s="1">
        <v>1.9400000000000002</v>
      </c>
      <c r="LK79" s="1">
        <v>2.39</v>
      </c>
      <c r="LL79" s="1">
        <v>2.5999999999999996</v>
      </c>
      <c r="LM79" s="1">
        <v>4.13</v>
      </c>
      <c r="LN79" s="1">
        <v>4.62</v>
      </c>
      <c r="LO79" s="1">
        <v>4.92</v>
      </c>
      <c r="LP79" s="1">
        <v>5.2</v>
      </c>
      <c r="LQ79" s="1">
        <v>4.8199999999999994</v>
      </c>
      <c r="LR79" s="1">
        <v>6.12</v>
      </c>
      <c r="LS79" s="1">
        <v>3.87</v>
      </c>
      <c r="LT79" s="1">
        <v>2.2400000000000002</v>
      </c>
      <c r="LU79" s="1">
        <v>2.1500000000000004</v>
      </c>
      <c r="LV79" s="1">
        <v>2.37</v>
      </c>
      <c r="LW79" s="1">
        <v>3.66</v>
      </c>
      <c r="LX79" s="1">
        <v>3.4400000000000004</v>
      </c>
      <c r="LY79" s="1">
        <v>3.3499999999999996</v>
      </c>
      <c r="LZ79" s="1">
        <v>3.8</v>
      </c>
      <c r="MA79" s="1">
        <v>4.92</v>
      </c>
      <c r="MB79" s="1">
        <v>5.12</v>
      </c>
      <c r="MC79" s="1">
        <v>7.64</v>
      </c>
      <c r="MD79" s="1">
        <v>8.1600000000000019</v>
      </c>
      <c r="ME79" s="1">
        <v>3.0199999999999996</v>
      </c>
      <c r="MF79" s="1">
        <v>1.67</v>
      </c>
      <c r="MG79" s="1">
        <v>0.74</v>
      </c>
      <c r="MH79" s="1">
        <v>1.82</v>
      </c>
      <c r="MI79" s="1">
        <v>2.62</v>
      </c>
      <c r="MJ79" s="1">
        <v>2.9699999999999998</v>
      </c>
      <c r="MK79" s="1">
        <v>3.7199999999999998</v>
      </c>
      <c r="ML79" s="1">
        <v>4.42</v>
      </c>
      <c r="MM79" s="1">
        <v>4.22</v>
      </c>
      <c r="MN79" s="1">
        <v>4.62</v>
      </c>
      <c r="MO79" s="1">
        <v>5.85</v>
      </c>
      <c r="MP79" s="1">
        <v>5.42</v>
      </c>
      <c r="MQ79" s="1">
        <v>2.8200000000000003</v>
      </c>
      <c r="MR79" s="1">
        <v>1.6199999999999999</v>
      </c>
      <c r="MS79" s="1">
        <v>1.82</v>
      </c>
      <c r="MT79">
        <v>6.57</v>
      </c>
      <c r="MU79">
        <v>5.16</v>
      </c>
    </row>
    <row r="80" spans="1:359" ht="15.75" x14ac:dyDescent="0.25">
      <c r="A80" s="8" t="s">
        <v>0</v>
      </c>
      <c r="B80" s="39">
        <v>20552</v>
      </c>
      <c r="C80" s="39" t="s">
        <v>116</v>
      </c>
      <c r="D80" s="39" t="s">
        <v>141</v>
      </c>
      <c r="E80" s="39" t="s">
        <v>141</v>
      </c>
      <c r="F80" s="39" t="s">
        <v>46</v>
      </c>
      <c r="G80" s="39" t="s">
        <v>209</v>
      </c>
      <c r="H80" s="41">
        <v>15.24</v>
      </c>
      <c r="I80" s="39" t="s">
        <v>119</v>
      </c>
      <c r="J80" s="40">
        <v>61.904000000000003</v>
      </c>
      <c r="K80" s="39">
        <v>16.910582699999999</v>
      </c>
      <c r="L80" s="39">
        <v>80.239433199999993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>
        <v>4.75</v>
      </c>
      <c r="Z80" s="1">
        <v>5</v>
      </c>
      <c r="AA80" s="1">
        <v>5.49</v>
      </c>
      <c r="AB80" s="1">
        <v>6</v>
      </c>
      <c r="AC80" s="1">
        <v>6.72</v>
      </c>
      <c r="AD80" s="1">
        <v>6.5</v>
      </c>
      <c r="AE80" s="1">
        <v>6.37</v>
      </c>
      <c r="AF80" s="1">
        <v>3.42</v>
      </c>
      <c r="AG80" s="1">
        <v>2.56</v>
      </c>
      <c r="AH80" s="1">
        <v>2</v>
      </c>
      <c r="AI80" s="1">
        <v>1.01</v>
      </c>
      <c r="AJ80" s="1">
        <v>2.67</v>
      </c>
      <c r="AK80" s="1">
        <v>3.12</v>
      </c>
      <c r="AL80" s="1">
        <v>3</v>
      </c>
      <c r="AM80" s="1">
        <v>2.98</v>
      </c>
      <c r="AN80" s="1">
        <v>3</v>
      </c>
      <c r="AO80" s="1">
        <v>3.16</v>
      </c>
      <c r="AP80" s="1">
        <v>5.74</v>
      </c>
      <c r="AQ80" s="1">
        <v>5.81</v>
      </c>
      <c r="AR80" s="1">
        <v>3.98</v>
      </c>
      <c r="AS80" s="1">
        <v>2.63</v>
      </c>
      <c r="AT80" s="1">
        <v>2.36</v>
      </c>
      <c r="AU80" s="1">
        <v>2.78</v>
      </c>
      <c r="AV80" s="1">
        <v>4.1100000000000003</v>
      </c>
      <c r="AW80" s="1">
        <v>4.28</v>
      </c>
      <c r="AX80" s="1">
        <v>4.79</v>
      </c>
      <c r="AY80" s="1">
        <v>5.0999999999999996</v>
      </c>
      <c r="AZ80" s="1">
        <v>5.54</v>
      </c>
      <c r="BA80" s="1">
        <v>6.01</v>
      </c>
      <c r="BB80" s="1">
        <v>5.56</v>
      </c>
      <c r="BC80" s="1">
        <v>4.12</v>
      </c>
      <c r="BD80" s="1">
        <v>0.61</v>
      </c>
      <c r="BE80" s="1">
        <v>2.1</v>
      </c>
      <c r="BF80" s="1">
        <v>3.34</v>
      </c>
      <c r="BG80" s="1">
        <v>4.09</v>
      </c>
      <c r="BH80" s="1">
        <v>4.8499999999999996</v>
      </c>
      <c r="BI80" s="1">
        <v>5.37</v>
      </c>
      <c r="BJ80" s="1">
        <v>5.15</v>
      </c>
      <c r="BK80" s="1">
        <v>5.45</v>
      </c>
      <c r="BL80" s="1">
        <v>5.54</v>
      </c>
      <c r="BM80" s="1">
        <v>6.04</v>
      </c>
      <c r="BN80" s="1">
        <v>5.99</v>
      </c>
      <c r="BO80" s="1">
        <v>6.05</v>
      </c>
      <c r="BP80" s="1">
        <v>4.9800000000000004</v>
      </c>
      <c r="BQ80" s="1">
        <v>4.7699999999999996</v>
      </c>
      <c r="BR80" s="1">
        <v>2.82</v>
      </c>
      <c r="BS80" s="1">
        <v>3.84</v>
      </c>
      <c r="BT80" s="1">
        <v>4.47</v>
      </c>
      <c r="BU80" s="1">
        <v>4.75</v>
      </c>
      <c r="BV80" s="1">
        <v>4.78</v>
      </c>
      <c r="BW80" s="1">
        <v>4.41</v>
      </c>
      <c r="BX80" s="1">
        <v>5.08</v>
      </c>
      <c r="BY80" s="1">
        <v>5.75</v>
      </c>
      <c r="BZ80" s="1">
        <v>5.8</v>
      </c>
      <c r="CA80" s="1">
        <v>6.13</v>
      </c>
      <c r="CB80" s="1">
        <v>5.77</v>
      </c>
      <c r="CC80" s="1">
        <v>5.03</v>
      </c>
      <c r="CD80" s="1">
        <v>4.29</v>
      </c>
      <c r="CE80" s="1">
        <v>4.37</v>
      </c>
      <c r="CF80" s="1">
        <v>4.8</v>
      </c>
      <c r="CG80" s="1">
        <v>5.46</v>
      </c>
      <c r="CH80" s="1">
        <v>6.11</v>
      </c>
      <c r="CI80" s="1">
        <v>5.93</v>
      </c>
      <c r="CJ80" s="1">
        <v>6.23</v>
      </c>
      <c r="CK80" s="1">
        <v>7.14</v>
      </c>
      <c r="CL80" s="1">
        <v>7.08</v>
      </c>
      <c r="CM80" s="1">
        <v>5.54</v>
      </c>
      <c r="CN80" s="1">
        <v>3.36</v>
      </c>
      <c r="CO80" s="1">
        <v>3.01</v>
      </c>
      <c r="CP80" s="1">
        <v>2.81</v>
      </c>
      <c r="CQ80" s="1">
        <v>3.32</v>
      </c>
      <c r="CR80" s="1">
        <v>3.74</v>
      </c>
      <c r="CS80" s="1">
        <v>4.6500000000000004</v>
      </c>
      <c r="CT80" s="1">
        <v>4.95</v>
      </c>
      <c r="CU80" s="1">
        <v>5.23</v>
      </c>
      <c r="CV80" s="1">
        <v>5.82</v>
      </c>
      <c r="CW80" s="1">
        <v>6.29</v>
      </c>
      <c r="CX80" s="1">
        <v>6.12</v>
      </c>
      <c r="CY80" s="1">
        <v>5.64</v>
      </c>
      <c r="CZ80" s="1">
        <v>3.19</v>
      </c>
      <c r="DA80" s="1">
        <v>3.63</v>
      </c>
      <c r="DB80" s="1">
        <v>3.32</v>
      </c>
      <c r="DC80" s="1">
        <v>3.93</v>
      </c>
      <c r="DD80" s="1">
        <v>4.26</v>
      </c>
      <c r="DE80" s="1">
        <v>4.58</v>
      </c>
      <c r="DF80" s="1">
        <v>5.0199999999999996</v>
      </c>
      <c r="DG80" s="1">
        <v>4.8099999999999996</v>
      </c>
      <c r="DH80" s="1">
        <v>5.58</v>
      </c>
      <c r="DI80" s="1">
        <v>6</v>
      </c>
      <c r="DJ80" s="1">
        <v>5.47</v>
      </c>
      <c r="DK80" s="1">
        <v>4.34</v>
      </c>
      <c r="DL80" s="1">
        <v>3.4</v>
      </c>
      <c r="DM80" s="1">
        <v>1.26</v>
      </c>
      <c r="DN80" s="1">
        <v>1.79</v>
      </c>
      <c r="DO80" s="1">
        <v>2.12</v>
      </c>
      <c r="DP80" s="1">
        <v>2.83</v>
      </c>
      <c r="DQ80" s="1">
        <v>3.59</v>
      </c>
      <c r="DR80" s="1">
        <v>4.05</v>
      </c>
      <c r="DS80" s="1">
        <v>4.38</v>
      </c>
      <c r="DT80" s="1">
        <v>4.4000000000000004</v>
      </c>
      <c r="DU80" s="1">
        <v>5</v>
      </c>
      <c r="DV80" s="1">
        <v>5.4</v>
      </c>
      <c r="DW80" s="1">
        <v>5.74</v>
      </c>
      <c r="DX80" s="1">
        <v>4.74</v>
      </c>
      <c r="DY80" s="1">
        <v>3.64</v>
      </c>
      <c r="DZ80" s="1">
        <v>3.33</v>
      </c>
      <c r="EA80" s="1">
        <v>3.64</v>
      </c>
      <c r="EB80" s="1">
        <v>4</v>
      </c>
      <c r="EC80" s="1">
        <v>4.95</v>
      </c>
      <c r="ED80" s="1">
        <v>5.38</v>
      </c>
      <c r="EE80" s="1">
        <v>5.56</v>
      </c>
      <c r="EF80" s="1">
        <v>5.83</v>
      </c>
      <c r="EG80" s="1">
        <v>5.76</v>
      </c>
      <c r="EH80" s="1">
        <v>4.92</v>
      </c>
      <c r="EI80" s="1">
        <v>4.25</v>
      </c>
      <c r="EJ80" s="1">
        <v>3.74</v>
      </c>
      <c r="EK80" s="1">
        <v>3.6</v>
      </c>
      <c r="EL80" s="1">
        <v>2.19</v>
      </c>
      <c r="EM80" s="1">
        <v>2.8</v>
      </c>
      <c r="EN80" s="1">
        <v>3.48</v>
      </c>
      <c r="EO80" s="1">
        <v>4.0199999999999996</v>
      </c>
      <c r="EP80" s="1">
        <v>4.12</v>
      </c>
      <c r="EQ80" s="1">
        <v>4.42</v>
      </c>
      <c r="ER80" s="1">
        <v>4.62</v>
      </c>
      <c r="ES80" s="1">
        <v>4.99</v>
      </c>
      <c r="ET80" s="1">
        <v>5.23</v>
      </c>
      <c r="EU80" s="1">
        <v>4.29</v>
      </c>
      <c r="EV80" s="1">
        <v>1.59</v>
      </c>
      <c r="EW80" s="1">
        <v>1.1299999999999999</v>
      </c>
      <c r="EX80" s="1">
        <v>2.29</v>
      </c>
      <c r="EY80" s="1">
        <v>2.94</v>
      </c>
      <c r="EZ80" s="1">
        <v>3.4</v>
      </c>
      <c r="FA80" s="1">
        <v>3.62</v>
      </c>
      <c r="FB80" s="1">
        <v>3.9</v>
      </c>
      <c r="FC80" s="1">
        <v>4.26</v>
      </c>
      <c r="FD80" s="1">
        <v>4.45</v>
      </c>
      <c r="FE80" s="1">
        <v>4.6900000000000004</v>
      </c>
      <c r="FF80" s="1">
        <v>5.08</v>
      </c>
      <c r="FG80" s="1">
        <v>5.29</v>
      </c>
      <c r="FH80" s="1">
        <v>4.21</v>
      </c>
      <c r="FI80" s="1">
        <v>4.13</v>
      </c>
      <c r="FJ80" s="1">
        <v>3.19</v>
      </c>
      <c r="FK80" s="1">
        <v>3.62</v>
      </c>
      <c r="FL80" s="1">
        <v>3.57</v>
      </c>
      <c r="FM80" s="1">
        <v>3.65</v>
      </c>
      <c r="FN80" s="1">
        <v>3.98</v>
      </c>
      <c r="FO80" s="1">
        <v>4.25</v>
      </c>
      <c r="FP80" s="1">
        <v>4.8</v>
      </c>
      <c r="FQ80" s="1">
        <v>5.25</v>
      </c>
      <c r="FR80" s="1">
        <v>4.32</v>
      </c>
      <c r="FS80" s="1">
        <v>1.75</v>
      </c>
      <c r="FT80" s="1">
        <v>1.4</v>
      </c>
      <c r="FU80" s="1">
        <v>1.5</v>
      </c>
      <c r="FV80" s="1">
        <v>1.5</v>
      </c>
      <c r="FW80" s="1">
        <v>1.1000000000000001</v>
      </c>
      <c r="FX80" s="1">
        <v>2.5299999999999998</v>
      </c>
      <c r="FY80" s="1">
        <v>3.42</v>
      </c>
      <c r="FZ80" s="1">
        <v>3.95</v>
      </c>
      <c r="GA80" s="1">
        <v>4</v>
      </c>
      <c r="GB80" s="1">
        <v>4.13</v>
      </c>
      <c r="GC80" s="1">
        <v>4.5</v>
      </c>
      <c r="GD80" s="1">
        <v>5.18</v>
      </c>
      <c r="GE80" s="1">
        <v>4.05</v>
      </c>
      <c r="GF80" s="1">
        <v>4.1500000000000004</v>
      </c>
      <c r="GG80" s="1">
        <v>3.38</v>
      </c>
      <c r="GH80" s="1">
        <v>4.05</v>
      </c>
      <c r="GI80" s="1">
        <v>4.45</v>
      </c>
      <c r="GJ80" s="1">
        <v>4.4000000000000004</v>
      </c>
      <c r="GK80" s="1">
        <v>4.55</v>
      </c>
      <c r="GL80" s="1">
        <v>4.8</v>
      </c>
      <c r="GM80" s="1">
        <v>4.79</v>
      </c>
      <c r="GN80" s="1">
        <v>4.83</v>
      </c>
      <c r="GO80" s="1">
        <v>4.92</v>
      </c>
      <c r="GP80" s="1">
        <v>5.28</v>
      </c>
      <c r="GQ80" s="1">
        <v>5.15</v>
      </c>
      <c r="GR80" s="1">
        <v>3.42</v>
      </c>
      <c r="GS80" s="1">
        <v>1.86</v>
      </c>
      <c r="GT80" s="1">
        <v>2.35</v>
      </c>
      <c r="GU80" s="1">
        <v>1.6</v>
      </c>
      <c r="GV80" s="1">
        <v>2.77</v>
      </c>
      <c r="GW80" s="1">
        <v>3.3</v>
      </c>
      <c r="GX80" s="1">
        <v>3.9</v>
      </c>
      <c r="GY80" s="1">
        <v>4.47</v>
      </c>
      <c r="GZ80" s="1">
        <v>4.88</v>
      </c>
      <c r="HA80" s="1">
        <v>5.25</v>
      </c>
      <c r="HB80" s="1">
        <v>5.25</v>
      </c>
      <c r="HC80" s="1">
        <v>4</v>
      </c>
      <c r="HD80" s="1">
        <v>3.15</v>
      </c>
      <c r="HE80" s="1">
        <v>2.91</v>
      </c>
      <c r="HF80" s="1">
        <v>2.97</v>
      </c>
      <c r="HG80" s="1">
        <v>2.37</v>
      </c>
      <c r="HH80" s="1">
        <v>3.1</v>
      </c>
      <c r="HI80" s="1">
        <v>3.65</v>
      </c>
      <c r="HJ80" s="1">
        <v>3.8</v>
      </c>
      <c r="HK80" s="1">
        <v>4.07</v>
      </c>
      <c r="HL80" s="1">
        <v>4.2</v>
      </c>
      <c r="HM80" s="1">
        <v>4.3899999999999997</v>
      </c>
      <c r="HN80" s="1">
        <v>5.09</v>
      </c>
      <c r="HO80" s="1">
        <v>5.13</v>
      </c>
      <c r="HP80" s="1">
        <v>4.8</v>
      </c>
      <c r="HQ80" s="1">
        <v>3.84</v>
      </c>
      <c r="HR80" s="1">
        <v>4.13</v>
      </c>
      <c r="HS80" s="1">
        <v>3.73</v>
      </c>
      <c r="HT80" s="1">
        <v>4.2</v>
      </c>
      <c r="HU80" s="1">
        <v>4.38</v>
      </c>
      <c r="HV80" s="1">
        <v>4.43</v>
      </c>
      <c r="HW80" s="1">
        <v>4.53</v>
      </c>
      <c r="HX80" s="1">
        <v>4.5</v>
      </c>
      <c r="HY80" s="1">
        <v>5.0199999999999996</v>
      </c>
      <c r="HZ80" s="1">
        <v>2.85</v>
      </c>
      <c r="IA80" s="1">
        <v>3.8</v>
      </c>
      <c r="IB80" s="1">
        <v>3.65</v>
      </c>
      <c r="IC80" s="1">
        <v>2.84</v>
      </c>
      <c r="ID80" s="1">
        <v>3.62</v>
      </c>
      <c r="IE80" s="1">
        <v>3.71</v>
      </c>
      <c r="IF80" s="1">
        <v>4.6399999999999997</v>
      </c>
      <c r="IG80" s="1">
        <v>5.0599999999999996</v>
      </c>
      <c r="IH80" s="1">
        <v>5.27</v>
      </c>
      <c r="II80" s="1">
        <v>5.6</v>
      </c>
      <c r="IJ80" s="1">
        <v>6.26</v>
      </c>
      <c r="IK80" s="1">
        <v>6.28</v>
      </c>
      <c r="IL80" s="1">
        <v>6.39</v>
      </c>
      <c r="IM80" s="1">
        <v>5.72</v>
      </c>
      <c r="IN80" s="1">
        <v>5.59</v>
      </c>
      <c r="IO80" s="1">
        <v>3.74</v>
      </c>
      <c r="IP80" s="1">
        <v>2.5499999999999998</v>
      </c>
      <c r="IQ80" s="1">
        <v>3.66</v>
      </c>
      <c r="IR80" s="1">
        <v>4.4400000000000004</v>
      </c>
      <c r="IS80" s="1">
        <v>4.7699999999999996</v>
      </c>
      <c r="IT80" s="1">
        <v>5.01</v>
      </c>
      <c r="IU80" s="1">
        <v>4.9800000000000004</v>
      </c>
      <c r="IV80" s="1">
        <v>6.03</v>
      </c>
      <c r="IW80" s="1">
        <v>6.47</v>
      </c>
      <c r="IX80" s="1">
        <v>5.82</v>
      </c>
      <c r="IY80" s="1">
        <v>4.7</v>
      </c>
      <c r="IZ80" s="1">
        <v>3.54</v>
      </c>
      <c r="JA80" s="1">
        <v>2.9</v>
      </c>
      <c r="JB80" s="1">
        <v>2.08</v>
      </c>
      <c r="JC80" s="1">
        <v>3.27</v>
      </c>
      <c r="JD80" s="1">
        <v>4.1500000000000004</v>
      </c>
      <c r="JE80" s="1">
        <v>4.47</v>
      </c>
      <c r="JF80" s="1">
        <v>4.79</v>
      </c>
      <c r="JG80" s="1">
        <v>5.19</v>
      </c>
      <c r="JH80" s="1">
        <v>5.0199999999999996</v>
      </c>
      <c r="JI80" s="1">
        <v>5.61</v>
      </c>
      <c r="JJ80" s="1">
        <v>5.32</v>
      </c>
      <c r="JK80" s="1">
        <v>4.63</v>
      </c>
      <c r="JL80" s="1">
        <v>2.69</v>
      </c>
      <c r="JM80" s="1">
        <v>2.67</v>
      </c>
      <c r="JN80" s="1">
        <v>3.38</v>
      </c>
      <c r="JO80" s="1">
        <v>3.71</v>
      </c>
      <c r="JP80" s="1">
        <v>3.83</v>
      </c>
      <c r="JQ80" s="1">
        <v>4.24</v>
      </c>
      <c r="JR80" s="1">
        <v>4.29</v>
      </c>
      <c r="JS80" s="1">
        <v>4.7300000000000004</v>
      </c>
      <c r="JT80" s="1">
        <v>5.18</v>
      </c>
      <c r="JU80" s="1">
        <v>5.63</v>
      </c>
      <c r="JV80" s="1">
        <v>6.06</v>
      </c>
      <c r="JW80" s="1">
        <v>6</v>
      </c>
      <c r="JX80" s="1">
        <v>4.12</v>
      </c>
      <c r="JY80" s="1">
        <v>3.2</v>
      </c>
      <c r="JZ80" s="1">
        <v>2.93</v>
      </c>
      <c r="KA80" s="1">
        <v>3.33</v>
      </c>
      <c r="KB80" s="1">
        <v>3.52</v>
      </c>
      <c r="KC80" s="1">
        <v>4.4400000000000004</v>
      </c>
      <c r="KD80" s="1">
        <v>4.88</v>
      </c>
      <c r="KE80" s="1"/>
      <c r="KF80" s="1"/>
      <c r="KG80" s="1">
        <v>5.19</v>
      </c>
      <c r="KH80" s="1">
        <v>5.5</v>
      </c>
      <c r="KI80" s="1">
        <v>2.62</v>
      </c>
      <c r="KJ80" s="1">
        <v>2.2799999999999998</v>
      </c>
      <c r="KK80" s="1">
        <v>2.2599999999999998</v>
      </c>
      <c r="KL80" s="1">
        <v>0.9</v>
      </c>
      <c r="KM80" s="1">
        <v>2.4500000000000002</v>
      </c>
      <c r="KN80" s="1">
        <v>2.8</v>
      </c>
      <c r="KO80" s="1">
        <v>3.56</v>
      </c>
      <c r="KP80" s="1">
        <v>3.7</v>
      </c>
      <c r="KQ80" s="1">
        <v>4.3099999999999996</v>
      </c>
      <c r="KR80" s="1">
        <v>4.8099999999999996</v>
      </c>
      <c r="KS80" s="1">
        <v>4.71</v>
      </c>
      <c r="KT80" s="1">
        <v>4.29</v>
      </c>
      <c r="KU80" s="1">
        <v>4.1100000000000003</v>
      </c>
      <c r="KV80" s="1">
        <v>2.97</v>
      </c>
      <c r="KW80" s="1">
        <v>2.75</v>
      </c>
      <c r="KX80" s="1">
        <v>2.2999999999999998</v>
      </c>
      <c r="KY80" s="1">
        <v>2.93</v>
      </c>
      <c r="KZ80" s="1">
        <v>3.43</v>
      </c>
      <c r="LA80" s="1">
        <v>4.12</v>
      </c>
      <c r="LB80" s="1">
        <v>4.2699999999999996</v>
      </c>
      <c r="LC80" s="1">
        <v>4.4400000000000004</v>
      </c>
      <c r="LD80" s="1">
        <v>4.47</v>
      </c>
      <c r="LE80" s="1">
        <v>4.8</v>
      </c>
      <c r="LF80" s="1">
        <v>5.08</v>
      </c>
      <c r="LG80" s="1">
        <v>2.71</v>
      </c>
      <c r="LH80" s="1">
        <v>1.73</v>
      </c>
      <c r="LI80" s="1">
        <v>2.72</v>
      </c>
      <c r="LJ80" s="1">
        <v>1.5100000000000002</v>
      </c>
      <c r="LK80" s="1">
        <v>2.3199999999999998</v>
      </c>
      <c r="LL80" s="1">
        <v>3.2300000000000004</v>
      </c>
      <c r="LM80" s="1">
        <v>3.6799999999999997</v>
      </c>
      <c r="LN80" s="1">
        <v>4.16</v>
      </c>
      <c r="LO80" s="1">
        <v>4.3600000000000003</v>
      </c>
      <c r="LP80" s="1">
        <v>4.7</v>
      </c>
      <c r="LQ80" s="1">
        <v>4.97</v>
      </c>
      <c r="LR80" s="1">
        <v>6.27</v>
      </c>
      <c r="LS80" s="1">
        <v>5.03</v>
      </c>
      <c r="LT80" s="1">
        <v>2.88</v>
      </c>
      <c r="LU80" s="1">
        <v>2.75</v>
      </c>
      <c r="LV80" s="1">
        <v>3.08</v>
      </c>
      <c r="LW80" s="1">
        <v>3.7199999999999998</v>
      </c>
      <c r="LX80" s="1">
        <v>2.87</v>
      </c>
      <c r="LY80" s="1">
        <v>3.63</v>
      </c>
      <c r="LZ80" s="1">
        <v>3.8499999999999996</v>
      </c>
      <c r="MA80" s="1">
        <v>4.5600000000000005</v>
      </c>
      <c r="MB80" s="1">
        <v>5.33</v>
      </c>
      <c r="MC80" s="1">
        <v>5.71</v>
      </c>
      <c r="MD80" s="1">
        <v>5.47</v>
      </c>
      <c r="ME80" s="1">
        <v>3.63</v>
      </c>
      <c r="MF80" s="1">
        <v>2.48</v>
      </c>
      <c r="MG80" s="1">
        <v>2.15</v>
      </c>
      <c r="MH80" s="1">
        <v>2.33</v>
      </c>
      <c r="MI80" s="1">
        <v>2.83</v>
      </c>
      <c r="MJ80" s="1">
        <v>3.5300000000000002</v>
      </c>
      <c r="MK80" s="1">
        <v>4.03</v>
      </c>
      <c r="ML80" s="1">
        <v>4.13</v>
      </c>
      <c r="MM80" s="1">
        <v>4.33</v>
      </c>
      <c r="MN80" s="1">
        <v>3.9299999999999997</v>
      </c>
      <c r="MO80" s="1">
        <v>5.6</v>
      </c>
      <c r="MP80" s="1">
        <v>5.23</v>
      </c>
      <c r="MQ80" s="1">
        <v>5.23</v>
      </c>
      <c r="MR80" s="1">
        <v>1.63</v>
      </c>
      <c r="MS80" s="1">
        <v>2.63</v>
      </c>
      <c r="MT80">
        <v>7.62</v>
      </c>
      <c r="MU80">
        <v>7.48</v>
      </c>
    </row>
    <row r="81" spans="1:359" ht="15.75" x14ac:dyDescent="0.25">
      <c r="A81" s="8" t="s">
        <v>0</v>
      </c>
      <c r="B81" s="39">
        <v>20532</v>
      </c>
      <c r="C81" s="39" t="s">
        <v>116</v>
      </c>
      <c r="D81" s="39" t="s">
        <v>136</v>
      </c>
      <c r="E81" s="39" t="s">
        <v>142</v>
      </c>
      <c r="F81" s="39" t="s">
        <v>46</v>
      </c>
      <c r="G81" s="39" t="s">
        <v>209</v>
      </c>
      <c r="H81" s="41">
        <v>37.1</v>
      </c>
      <c r="I81" s="39" t="s">
        <v>119</v>
      </c>
      <c r="J81" s="40">
        <v>75.54025</v>
      </c>
      <c r="K81" s="39">
        <v>16.831695</v>
      </c>
      <c r="L81" s="39">
        <v>80.631241000000003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>
        <v>2.64</v>
      </c>
      <c r="EQ81" s="1">
        <v>3.84</v>
      </c>
      <c r="ER81" s="1">
        <v>3.24</v>
      </c>
      <c r="ES81" s="1">
        <v>3.98</v>
      </c>
      <c r="ET81" s="1">
        <v>3.21</v>
      </c>
      <c r="EU81" s="1">
        <v>3.2</v>
      </c>
      <c r="EV81" s="1">
        <v>3.26</v>
      </c>
      <c r="EW81" s="1">
        <v>3</v>
      </c>
      <c r="EX81" s="1">
        <v>2.98</v>
      </c>
      <c r="EY81" s="1">
        <v>3.01</v>
      </c>
      <c r="EZ81" s="1">
        <v>3.22</v>
      </c>
      <c r="FA81" s="1">
        <v>1.91</v>
      </c>
      <c r="FB81" s="1">
        <v>1.78</v>
      </c>
      <c r="FC81" s="1">
        <v>2.79</v>
      </c>
      <c r="FD81" s="1">
        <v>3.32</v>
      </c>
      <c r="FE81" s="1">
        <v>3.35</v>
      </c>
      <c r="FF81" s="1">
        <v>3.51</v>
      </c>
      <c r="FG81" s="1">
        <v>3.9</v>
      </c>
      <c r="FH81" s="1">
        <v>4.18</v>
      </c>
      <c r="FI81" s="1">
        <v>3.75</v>
      </c>
      <c r="FJ81" s="1">
        <v>2.4</v>
      </c>
      <c r="FK81" s="1">
        <v>1.7</v>
      </c>
      <c r="FL81" s="1">
        <v>2.0499999999999998</v>
      </c>
      <c r="FM81" s="1">
        <v>1.98</v>
      </c>
      <c r="FN81" s="1">
        <v>2.1</v>
      </c>
      <c r="FO81" s="1">
        <v>2.4500000000000002</v>
      </c>
      <c r="FP81" s="1">
        <v>2.4</v>
      </c>
      <c r="FQ81" s="1">
        <v>2.4500000000000002</v>
      </c>
      <c r="FR81" s="1">
        <v>2</v>
      </c>
      <c r="FS81" s="1">
        <v>1.3</v>
      </c>
      <c r="FT81" s="1">
        <v>0.96</v>
      </c>
      <c r="FU81" s="1">
        <v>1.32</v>
      </c>
      <c r="FV81" s="1">
        <v>1.1499999999999999</v>
      </c>
      <c r="FW81" s="1">
        <v>1.4</v>
      </c>
      <c r="FX81" s="1">
        <v>1.45</v>
      </c>
      <c r="FY81" s="1">
        <v>1.64</v>
      </c>
      <c r="FZ81" s="1">
        <v>1.8</v>
      </c>
      <c r="GA81" s="1">
        <v>1.72</v>
      </c>
      <c r="GB81" s="1">
        <v>1.5</v>
      </c>
      <c r="GC81" s="1">
        <v>2.0699999999999998</v>
      </c>
      <c r="GD81" s="1">
        <v>2</v>
      </c>
      <c r="GE81" s="1">
        <v>1.45</v>
      </c>
      <c r="GF81" s="1">
        <v>1.58</v>
      </c>
      <c r="GG81" s="1">
        <v>1.5</v>
      </c>
      <c r="GH81" s="1">
        <v>1.8</v>
      </c>
      <c r="GI81" s="1">
        <v>2.34</v>
      </c>
      <c r="GJ81" s="1">
        <v>2.7</v>
      </c>
      <c r="GK81" s="1">
        <v>2</v>
      </c>
      <c r="GL81" s="1">
        <v>2.02</v>
      </c>
      <c r="GM81" s="1">
        <v>2.35</v>
      </c>
      <c r="GN81" s="1">
        <v>2.85</v>
      </c>
      <c r="GO81" s="1">
        <v>3.2</v>
      </c>
      <c r="GP81" s="1">
        <v>3.55</v>
      </c>
      <c r="GQ81" s="1">
        <v>2.4500000000000002</v>
      </c>
      <c r="GR81" s="1">
        <v>2.3199999999999998</v>
      </c>
      <c r="GS81" s="1">
        <v>1.25</v>
      </c>
      <c r="GT81" s="1">
        <v>1.1499999999999999</v>
      </c>
      <c r="GU81" s="1">
        <v>1.35</v>
      </c>
      <c r="GV81" s="1">
        <v>1.9</v>
      </c>
      <c r="GW81" s="1">
        <v>2.15</v>
      </c>
      <c r="GX81" s="1">
        <v>2.0499999999999998</v>
      </c>
      <c r="GY81" s="1">
        <v>2.5499999999999998</v>
      </c>
      <c r="GZ81" s="1">
        <v>2.9</v>
      </c>
      <c r="HA81" s="1">
        <v>3.4</v>
      </c>
      <c r="HB81" s="1">
        <v>3.6</v>
      </c>
      <c r="HC81" s="1">
        <v>3.19</v>
      </c>
      <c r="HD81" s="1">
        <v>2.12</v>
      </c>
      <c r="HE81" s="1">
        <v>1.37</v>
      </c>
      <c r="HF81" s="1">
        <v>1.3</v>
      </c>
      <c r="HG81" s="1">
        <v>2.1</v>
      </c>
      <c r="HH81" s="1">
        <v>1.72</v>
      </c>
      <c r="HI81" s="1">
        <v>1.8</v>
      </c>
      <c r="HJ81" s="1">
        <v>1.86</v>
      </c>
      <c r="HK81" s="1">
        <v>2.06</v>
      </c>
      <c r="HL81" s="1">
        <v>2.4500000000000002</v>
      </c>
      <c r="HM81" s="1">
        <v>2.84</v>
      </c>
      <c r="HN81" s="1">
        <v>3.3</v>
      </c>
      <c r="HO81" s="1">
        <v>3.6</v>
      </c>
      <c r="HP81" s="1">
        <v>3.12</v>
      </c>
      <c r="HQ81" s="1">
        <v>2.8</v>
      </c>
      <c r="HR81" s="1">
        <v>2.8</v>
      </c>
      <c r="HS81" s="1">
        <v>1.85</v>
      </c>
      <c r="HT81" s="1">
        <v>1.87</v>
      </c>
      <c r="HU81" s="1">
        <v>1.6</v>
      </c>
      <c r="HV81" s="1">
        <v>2.2999999999999998</v>
      </c>
      <c r="HW81" s="1">
        <v>2.73</v>
      </c>
      <c r="HX81" s="1">
        <v>3.32</v>
      </c>
      <c r="HY81" s="1">
        <v>3.5</v>
      </c>
      <c r="HZ81" s="1">
        <v>3.1</v>
      </c>
      <c r="IA81" s="1">
        <v>2.83</v>
      </c>
      <c r="IB81" s="1">
        <v>2.65</v>
      </c>
      <c r="IC81" s="1">
        <v>1.85</v>
      </c>
      <c r="ID81" s="1">
        <v>1.95</v>
      </c>
      <c r="IE81" s="1">
        <v>2.81</v>
      </c>
      <c r="IF81" s="1">
        <v>3.25</v>
      </c>
      <c r="IG81" s="1">
        <v>4.0199999999999996</v>
      </c>
      <c r="IH81" s="1">
        <v>4.21</v>
      </c>
      <c r="II81" s="1">
        <v>4.83</v>
      </c>
      <c r="IJ81" s="1">
        <v>5.16</v>
      </c>
      <c r="IK81" s="1">
        <v>5.42</v>
      </c>
      <c r="IL81" s="1">
        <v>5.4</v>
      </c>
      <c r="IM81" s="1">
        <v>4.93</v>
      </c>
      <c r="IN81" s="1">
        <v>5.01</v>
      </c>
      <c r="IO81" s="1">
        <v>4.83</v>
      </c>
      <c r="IP81" s="1">
        <v>3.11</v>
      </c>
      <c r="IQ81" s="1">
        <v>3.12</v>
      </c>
      <c r="IR81" s="1">
        <v>3.38</v>
      </c>
      <c r="IS81" s="1">
        <v>4.0199999999999996</v>
      </c>
      <c r="IT81" s="1">
        <v>4.34</v>
      </c>
      <c r="IU81" s="1">
        <v>4.5599999999999996</v>
      </c>
      <c r="IV81" s="1">
        <v>4.9400000000000004</v>
      </c>
      <c r="IW81" s="1">
        <v>5.24</v>
      </c>
      <c r="IX81" s="1">
        <v>5.15</v>
      </c>
      <c r="IY81" s="1">
        <v>4.18</v>
      </c>
      <c r="IZ81" s="1">
        <v>3.87</v>
      </c>
      <c r="JA81" s="1">
        <v>2.75</v>
      </c>
      <c r="JB81" s="1">
        <v>1.9</v>
      </c>
      <c r="JC81" s="1">
        <v>2.75</v>
      </c>
      <c r="JD81" s="1">
        <v>3.04</v>
      </c>
      <c r="JE81" s="1">
        <v>3.54</v>
      </c>
      <c r="JF81" s="1">
        <v>3.95</v>
      </c>
      <c r="JG81" s="1">
        <v>4.5</v>
      </c>
      <c r="JH81" s="1">
        <v>4.57</v>
      </c>
      <c r="JI81" s="1">
        <v>4.72</v>
      </c>
      <c r="JJ81" s="1">
        <v>4.87</v>
      </c>
      <c r="JK81" s="1">
        <v>4.0199999999999996</v>
      </c>
      <c r="JL81" s="1">
        <v>2.5499999999999998</v>
      </c>
      <c r="JM81" s="1">
        <v>2.2599999999999998</v>
      </c>
      <c r="JN81" s="1">
        <v>2.2999999999999998</v>
      </c>
      <c r="JO81" s="1">
        <v>2.9</v>
      </c>
      <c r="JP81" s="1">
        <v>2.98</v>
      </c>
      <c r="JQ81" s="1">
        <v>3.46</v>
      </c>
      <c r="JR81" s="1">
        <v>3.66</v>
      </c>
      <c r="JS81" s="1">
        <v>4.18</v>
      </c>
      <c r="JT81" s="1">
        <v>4.8099999999999996</v>
      </c>
      <c r="JU81" s="1">
        <v>4.96</v>
      </c>
      <c r="JV81" s="1">
        <v>5.46</v>
      </c>
      <c r="JW81" s="1">
        <v>5.58</v>
      </c>
      <c r="JX81" s="1">
        <v>5.37</v>
      </c>
      <c r="JY81" s="1">
        <v>4.82</v>
      </c>
      <c r="JZ81" s="1">
        <v>3.44</v>
      </c>
      <c r="KA81" s="1">
        <v>2.31</v>
      </c>
      <c r="KB81" s="1">
        <v>2.63</v>
      </c>
      <c r="KC81" s="1">
        <v>2.93</v>
      </c>
      <c r="KD81" s="1">
        <v>3.42</v>
      </c>
      <c r="KE81" s="1"/>
      <c r="KF81" s="1"/>
      <c r="KG81" s="1">
        <v>4.51</v>
      </c>
      <c r="KH81" s="1">
        <v>5.16</v>
      </c>
      <c r="KI81" s="1">
        <v>3.11</v>
      </c>
      <c r="KJ81" s="1">
        <v>1.51</v>
      </c>
      <c r="KK81" s="1">
        <v>1.66</v>
      </c>
      <c r="KL81" s="1">
        <v>1.34</v>
      </c>
      <c r="KM81" s="1">
        <v>2.11</v>
      </c>
      <c r="KN81" s="1">
        <v>2.0499999999999998</v>
      </c>
      <c r="KO81" s="1">
        <v>2.12</v>
      </c>
      <c r="KP81" s="1">
        <v>2.23</v>
      </c>
      <c r="KQ81" s="1">
        <v>2.86</v>
      </c>
      <c r="KR81" s="1">
        <v>3.33</v>
      </c>
      <c r="KS81" s="1">
        <v>3.21</v>
      </c>
      <c r="KT81" s="1">
        <v>3.33</v>
      </c>
      <c r="KU81" s="1">
        <v>3.08</v>
      </c>
      <c r="KV81" s="1">
        <v>2.23</v>
      </c>
      <c r="KW81" s="1">
        <v>2.69</v>
      </c>
      <c r="KX81" s="1">
        <v>2.68</v>
      </c>
      <c r="KY81" s="1">
        <v>1.63</v>
      </c>
      <c r="KZ81" s="1">
        <v>2.34</v>
      </c>
      <c r="LA81" s="1">
        <v>2.4700000000000002</v>
      </c>
      <c r="LB81" s="1">
        <v>2.6</v>
      </c>
      <c r="LC81" s="1">
        <v>2.62</v>
      </c>
      <c r="LD81" s="1">
        <v>2.21</v>
      </c>
      <c r="LE81" s="1">
        <v>3.41</v>
      </c>
      <c r="LF81" s="1">
        <v>3.56</v>
      </c>
      <c r="LG81" s="1">
        <v>1.69</v>
      </c>
      <c r="LH81" s="1">
        <v>1.31</v>
      </c>
      <c r="LI81" s="1">
        <v>1.8900000000000001</v>
      </c>
      <c r="LJ81" s="1">
        <v>1.33</v>
      </c>
      <c r="LK81" s="1">
        <v>1.81</v>
      </c>
      <c r="LL81" s="1">
        <v>2.2000000000000002</v>
      </c>
      <c r="LM81" s="1">
        <v>2.23</v>
      </c>
      <c r="LN81" s="1">
        <v>2.56</v>
      </c>
      <c r="LO81" s="1">
        <v>3.09</v>
      </c>
      <c r="LP81" s="1">
        <v>3.03</v>
      </c>
      <c r="LQ81" s="1">
        <v>3.17</v>
      </c>
      <c r="LR81" s="1">
        <v>4.3499999999999996</v>
      </c>
      <c r="LS81" s="1">
        <v>2.16</v>
      </c>
      <c r="LT81" s="1">
        <v>2.41</v>
      </c>
      <c r="LU81" s="1">
        <v>1.3599999999999999</v>
      </c>
      <c r="LV81" s="1">
        <v>1.63</v>
      </c>
      <c r="LW81" s="1">
        <v>1.8900000000000001</v>
      </c>
      <c r="LX81" s="1">
        <v>1.48</v>
      </c>
      <c r="LY81" s="1">
        <v>1.54</v>
      </c>
      <c r="LZ81" s="1">
        <v>2.85</v>
      </c>
      <c r="MA81" s="1">
        <v>3.29</v>
      </c>
      <c r="MB81" s="1">
        <v>3.33</v>
      </c>
      <c r="MC81" s="1">
        <v>2.66</v>
      </c>
      <c r="MD81" s="1">
        <v>2.7</v>
      </c>
      <c r="ME81" s="1">
        <v>2.1</v>
      </c>
      <c r="MF81" s="1">
        <v>2.0499999999999998</v>
      </c>
      <c r="MG81" s="1">
        <v>1.25</v>
      </c>
      <c r="MH81" s="1">
        <v>1.1499999999999999</v>
      </c>
      <c r="MI81" s="1">
        <v>1.2</v>
      </c>
      <c r="MJ81" s="1">
        <v>1.45</v>
      </c>
      <c r="MK81" s="1">
        <v>1.6</v>
      </c>
      <c r="ML81" s="1">
        <v>1.8</v>
      </c>
      <c r="MM81" s="1">
        <v>2.2000000000000002</v>
      </c>
      <c r="MN81" s="1">
        <v>2.8</v>
      </c>
      <c r="MO81" s="1">
        <v>1.31</v>
      </c>
      <c r="MP81" s="1">
        <v>1.6</v>
      </c>
      <c r="MQ81" s="1">
        <v>1.4</v>
      </c>
      <c r="MR81" s="1">
        <v>1.2</v>
      </c>
      <c r="MS81" s="1">
        <v>1.1000000000000001</v>
      </c>
      <c r="MT81">
        <v>3.95</v>
      </c>
      <c r="MU81">
        <v>1.6600000000000001</v>
      </c>
    </row>
    <row r="82" spans="1:359" ht="15.75" x14ac:dyDescent="0.25">
      <c r="A82" s="8" t="s">
        <v>0</v>
      </c>
      <c r="B82" s="39">
        <v>20575</v>
      </c>
      <c r="C82" s="39" t="s">
        <v>116</v>
      </c>
      <c r="D82" s="39" t="s">
        <v>143</v>
      </c>
      <c r="E82" s="39" t="s">
        <v>144</v>
      </c>
      <c r="F82" s="39" t="s">
        <v>28</v>
      </c>
      <c r="G82" s="39" t="s">
        <v>209</v>
      </c>
      <c r="H82" s="41">
        <v>49.17</v>
      </c>
      <c r="I82" s="39" t="s">
        <v>119</v>
      </c>
      <c r="J82" s="40">
        <v>133.59309999999999</v>
      </c>
      <c r="K82" s="39">
        <v>17.029802</v>
      </c>
      <c r="L82" s="39">
        <v>80.710767000000004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>
        <v>17.54</v>
      </c>
      <c r="BX82" s="1">
        <v>17.86</v>
      </c>
      <c r="BY82" s="1">
        <v>18.440000000000001</v>
      </c>
      <c r="BZ82" s="1">
        <v>18.579999999999998</v>
      </c>
      <c r="CA82" s="1">
        <v>19.2</v>
      </c>
      <c r="CB82" s="1">
        <v>19.02</v>
      </c>
      <c r="CC82" s="1">
        <v>18.989999999999998</v>
      </c>
      <c r="CD82" s="1">
        <v>19.47</v>
      </c>
      <c r="CE82" s="1">
        <v>19.96</v>
      </c>
      <c r="CF82" s="1">
        <v>20.46</v>
      </c>
      <c r="CG82" s="1">
        <v>20.48</v>
      </c>
      <c r="CH82" s="1">
        <v>21.23</v>
      </c>
      <c r="CI82" s="1">
        <v>21.63</v>
      </c>
      <c r="CJ82" s="1">
        <v>22.47</v>
      </c>
      <c r="CK82" s="1">
        <v>23.45</v>
      </c>
      <c r="CL82" s="1">
        <v>25.19</v>
      </c>
      <c r="CM82" s="1">
        <v>26.07</v>
      </c>
      <c r="CN82" s="1">
        <v>24.17</v>
      </c>
      <c r="CO82" s="1">
        <v>25.32</v>
      </c>
      <c r="CP82" s="1">
        <v>24.22</v>
      </c>
      <c r="CQ82" s="1">
        <v>25.48</v>
      </c>
      <c r="CR82" s="1">
        <v>26.03</v>
      </c>
      <c r="CS82" s="1">
        <v>26.71</v>
      </c>
      <c r="CT82" s="1">
        <v>27.04</v>
      </c>
      <c r="CU82" s="1">
        <v>28.1</v>
      </c>
      <c r="CV82" s="1">
        <v>29.02</v>
      </c>
      <c r="CW82" s="1">
        <v>30.26</v>
      </c>
      <c r="CX82" s="1">
        <v>29.95</v>
      </c>
      <c r="CY82" s="1">
        <v>30.84</v>
      </c>
      <c r="CZ82" s="1">
        <v>26.99</v>
      </c>
      <c r="DA82" s="1">
        <v>28.06</v>
      </c>
      <c r="DB82" s="1">
        <v>28.04</v>
      </c>
      <c r="DC82" s="1">
        <v>28.77</v>
      </c>
      <c r="DD82" s="1">
        <v>30.08</v>
      </c>
      <c r="DE82" s="1">
        <v>30.75</v>
      </c>
      <c r="DF82" s="1">
        <v>30.85</v>
      </c>
      <c r="DG82" s="1">
        <v>31.1</v>
      </c>
      <c r="DH82" s="1">
        <v>31.85</v>
      </c>
      <c r="DI82" s="1">
        <v>32.450000000000003</v>
      </c>
      <c r="DJ82" s="1">
        <v>32.299999999999997</v>
      </c>
      <c r="DK82" s="1">
        <v>32.049999999999997</v>
      </c>
      <c r="DL82" s="1">
        <v>28.19</v>
      </c>
      <c r="DM82" s="1">
        <v>24.43</v>
      </c>
      <c r="DN82" s="1">
        <v>20.79</v>
      </c>
      <c r="DO82" s="1">
        <v>16.88</v>
      </c>
      <c r="DP82" s="1">
        <v>16.670000000000002</v>
      </c>
      <c r="DQ82" s="1">
        <v>16.62</v>
      </c>
      <c r="DR82" s="1">
        <v>17.38</v>
      </c>
      <c r="DS82" s="1">
        <v>17.5</v>
      </c>
      <c r="DT82" s="1">
        <v>18.02</v>
      </c>
      <c r="DU82" s="1">
        <v>18.350000000000001</v>
      </c>
      <c r="DV82" s="1">
        <v>18.5</v>
      </c>
      <c r="DW82" s="1">
        <v>20.52</v>
      </c>
      <c r="DX82" s="1">
        <v>20.23</v>
      </c>
      <c r="DY82" s="1">
        <v>17.690000000000001</v>
      </c>
      <c r="DZ82" s="1">
        <v>16.739999999999998</v>
      </c>
      <c r="EA82" s="1">
        <v>17</v>
      </c>
      <c r="EB82" s="1">
        <v>17.64</v>
      </c>
      <c r="EC82" s="1">
        <v>18.04</v>
      </c>
      <c r="ED82" s="1">
        <v>18.260000000000002</v>
      </c>
      <c r="EE82" s="1">
        <v>19</v>
      </c>
      <c r="EF82" s="1">
        <v>20.48</v>
      </c>
      <c r="EG82" s="1">
        <v>20.39</v>
      </c>
      <c r="EH82" s="1">
        <v>21.69</v>
      </c>
      <c r="EI82" s="1">
        <v>22.18</v>
      </c>
      <c r="EJ82" s="1">
        <v>21.7</v>
      </c>
      <c r="EK82" s="1">
        <v>20.25</v>
      </c>
      <c r="EL82" s="1">
        <v>18.350000000000001</v>
      </c>
      <c r="EM82" s="1">
        <v>18.52</v>
      </c>
      <c r="EN82" s="1">
        <v>18.510000000000002</v>
      </c>
      <c r="EO82" s="1">
        <v>20.07</v>
      </c>
      <c r="EP82" s="1">
        <v>20.04</v>
      </c>
      <c r="EQ82" s="1">
        <v>20.98</v>
      </c>
      <c r="ER82" s="1">
        <v>20.47</v>
      </c>
      <c r="ES82" s="1">
        <v>20.84</v>
      </c>
      <c r="ET82" s="1">
        <v>20.350000000000001</v>
      </c>
      <c r="EU82" s="1">
        <v>20.260000000000002</v>
      </c>
      <c r="EV82" s="1">
        <v>13.59</v>
      </c>
      <c r="EW82" s="1">
        <v>12.86</v>
      </c>
      <c r="EX82" s="1">
        <v>13.6</v>
      </c>
      <c r="EY82" s="1">
        <v>13.9</v>
      </c>
      <c r="EZ82" s="1">
        <v>14.93</v>
      </c>
      <c r="FA82" s="1">
        <v>14.73</v>
      </c>
      <c r="FB82" s="1">
        <v>15.3</v>
      </c>
      <c r="FC82" s="1">
        <v>17.22</v>
      </c>
      <c r="FD82" s="1">
        <v>17.27</v>
      </c>
      <c r="FE82" s="1">
        <v>18.79</v>
      </c>
      <c r="FF82" s="1">
        <v>18.03</v>
      </c>
      <c r="FG82" s="1">
        <v>18.57</v>
      </c>
      <c r="FH82" s="1">
        <v>20.02</v>
      </c>
      <c r="FI82" s="1">
        <v>20.059999999999999</v>
      </c>
      <c r="FJ82" s="1">
        <v>20.309999999999999</v>
      </c>
      <c r="FK82" s="1">
        <v>21.67</v>
      </c>
      <c r="FL82" s="1">
        <v>21.75</v>
      </c>
      <c r="FM82" s="1">
        <v>22.53</v>
      </c>
      <c r="FN82" s="1">
        <v>23.8</v>
      </c>
      <c r="FO82" s="1">
        <v>24.48</v>
      </c>
      <c r="FP82" s="1">
        <v>26.45</v>
      </c>
      <c r="FQ82" s="1">
        <v>25.6</v>
      </c>
      <c r="FR82" s="1">
        <v>24.81</v>
      </c>
      <c r="FS82" s="1">
        <v>22.5</v>
      </c>
      <c r="FT82" s="1">
        <v>19.97</v>
      </c>
      <c r="FU82" s="1">
        <v>11.79</v>
      </c>
      <c r="FV82" s="1">
        <v>11.35</v>
      </c>
      <c r="FW82" s="1">
        <v>10.63</v>
      </c>
      <c r="FX82" s="1">
        <v>9.9700000000000006</v>
      </c>
      <c r="FY82" s="1">
        <v>10.55</v>
      </c>
      <c r="FZ82" s="1">
        <v>11.03</v>
      </c>
      <c r="GA82" s="1">
        <v>11.63</v>
      </c>
      <c r="GB82" s="1">
        <v>12.99</v>
      </c>
      <c r="GC82" s="1">
        <v>13.12</v>
      </c>
      <c r="GD82" s="1">
        <v>13.6</v>
      </c>
      <c r="GE82" s="1">
        <v>13.5</v>
      </c>
      <c r="GF82" s="1">
        <v>13.11</v>
      </c>
      <c r="GG82" s="1">
        <v>11.9</v>
      </c>
      <c r="GH82" s="1">
        <v>12.6</v>
      </c>
      <c r="GI82" s="1">
        <v>13.14</v>
      </c>
      <c r="GJ82" s="1">
        <v>14.3</v>
      </c>
      <c r="GK82" s="1">
        <v>15.01</v>
      </c>
      <c r="GL82" s="1">
        <v>15.75</v>
      </c>
      <c r="GM82" s="1">
        <v>16.52</v>
      </c>
      <c r="GN82" s="1">
        <v>17.809999999999999</v>
      </c>
      <c r="GO82" s="1">
        <v>18.489999999999998</v>
      </c>
      <c r="GP82" s="1">
        <v>19.670000000000002</v>
      </c>
      <c r="GQ82" s="1">
        <v>18.86</v>
      </c>
      <c r="GR82" s="1">
        <v>15.65</v>
      </c>
      <c r="GS82" s="1">
        <v>11.06</v>
      </c>
      <c r="GT82" s="1">
        <v>9.32</v>
      </c>
      <c r="GU82" s="1">
        <v>7.34</v>
      </c>
      <c r="GV82" s="1">
        <v>8.02</v>
      </c>
      <c r="GW82" s="1">
        <v>8.48</v>
      </c>
      <c r="GX82" s="1">
        <v>9.1300000000000008</v>
      </c>
      <c r="GY82" s="1">
        <v>9.99</v>
      </c>
      <c r="GZ82" s="1">
        <v>10.85</v>
      </c>
      <c r="HA82" s="1">
        <v>11.55</v>
      </c>
      <c r="HB82" s="1">
        <v>11.96</v>
      </c>
      <c r="HC82" s="1">
        <v>10.27</v>
      </c>
      <c r="HD82" s="1">
        <v>9.9499999999999993</v>
      </c>
      <c r="HE82" s="1">
        <v>9.3699999999999992</v>
      </c>
      <c r="HF82" s="1">
        <v>8.31</v>
      </c>
      <c r="HG82" s="1">
        <v>7.95</v>
      </c>
      <c r="HH82" s="1">
        <v>8.4499999999999993</v>
      </c>
      <c r="HI82" s="1">
        <v>9.0299999999999994</v>
      </c>
      <c r="HJ82" s="1">
        <v>10.08</v>
      </c>
      <c r="HK82" s="1">
        <v>11.03</v>
      </c>
      <c r="HL82" s="1">
        <v>12.23</v>
      </c>
      <c r="HM82" s="1">
        <v>13.73</v>
      </c>
      <c r="HN82" s="1">
        <v>14.05</v>
      </c>
      <c r="HO82" s="1">
        <v>14.68</v>
      </c>
      <c r="HP82" s="1">
        <v>14.58</v>
      </c>
      <c r="HQ82" s="1">
        <v>13.13</v>
      </c>
      <c r="HR82" s="1">
        <v>13.76</v>
      </c>
      <c r="HS82" s="1">
        <v>13.83</v>
      </c>
      <c r="HT82" s="1">
        <v>14.2</v>
      </c>
      <c r="HU82" s="1">
        <v>14.93</v>
      </c>
      <c r="HV82" s="1">
        <v>15.61</v>
      </c>
      <c r="HW82" s="1">
        <v>17</v>
      </c>
      <c r="HX82" s="1">
        <v>18.18</v>
      </c>
      <c r="HY82" s="1">
        <v>18.88</v>
      </c>
      <c r="HZ82" s="1">
        <v>18</v>
      </c>
      <c r="IA82" s="1">
        <v>18.48</v>
      </c>
      <c r="IB82" s="1">
        <v>18.61</v>
      </c>
      <c r="IC82" s="1">
        <v>17.97</v>
      </c>
      <c r="ID82" s="1">
        <v>17.23</v>
      </c>
      <c r="IE82" s="1">
        <v>18.79</v>
      </c>
      <c r="IF82" s="1">
        <v>18.88</v>
      </c>
      <c r="IG82" s="1">
        <v>20.88</v>
      </c>
      <c r="IH82" s="1">
        <v>22.26</v>
      </c>
      <c r="II82" s="1">
        <v>23.63</v>
      </c>
      <c r="IJ82" s="1">
        <v>24.93</v>
      </c>
      <c r="IK82" s="1">
        <v>25.68</v>
      </c>
      <c r="IL82" s="1">
        <v>25.77</v>
      </c>
      <c r="IM82" s="1">
        <v>22.87</v>
      </c>
      <c r="IN82" s="1">
        <v>23.34</v>
      </c>
      <c r="IO82" s="1">
        <v>19.77</v>
      </c>
      <c r="IP82" s="1">
        <v>15.34</v>
      </c>
      <c r="IQ82" s="1">
        <v>16.09</v>
      </c>
      <c r="IR82" s="1">
        <v>16.84</v>
      </c>
      <c r="IS82" s="1">
        <v>18.07</v>
      </c>
      <c r="IT82" s="1">
        <v>19.399999999999999</v>
      </c>
      <c r="IU82" s="1">
        <v>20.59</v>
      </c>
      <c r="IV82" s="1">
        <v>23.13</v>
      </c>
      <c r="IW82" s="1">
        <v>25.29</v>
      </c>
      <c r="IX82" s="1">
        <v>24.94</v>
      </c>
      <c r="IY82" s="1">
        <v>21.96</v>
      </c>
      <c r="IZ82" s="1">
        <v>19.62</v>
      </c>
      <c r="JA82" s="1">
        <v>18</v>
      </c>
      <c r="JB82" s="1">
        <v>16.350000000000001</v>
      </c>
      <c r="JC82" s="1">
        <v>17.86</v>
      </c>
      <c r="JD82" s="1">
        <v>18.440000000000001</v>
      </c>
      <c r="JE82" s="1">
        <v>19.649999999999999</v>
      </c>
      <c r="JF82" s="1">
        <v>22.12</v>
      </c>
      <c r="JG82" s="1">
        <v>24.48</v>
      </c>
      <c r="JH82" s="1">
        <v>25.33</v>
      </c>
      <c r="JI82" s="1">
        <v>27.02</v>
      </c>
      <c r="JJ82" s="1">
        <v>26.67</v>
      </c>
      <c r="JK82" s="1">
        <v>24.89</v>
      </c>
      <c r="JL82" s="1">
        <v>19.07</v>
      </c>
      <c r="JM82" s="1">
        <v>18.73</v>
      </c>
      <c r="JN82" s="1">
        <v>18.37</v>
      </c>
      <c r="JO82" s="1">
        <v>19.11</v>
      </c>
      <c r="JP82" s="1">
        <v>19.29</v>
      </c>
      <c r="JQ82" s="1">
        <v>19.170000000000002</v>
      </c>
      <c r="JR82" s="1">
        <v>19.41</v>
      </c>
      <c r="JS82" s="1">
        <v>20.54</v>
      </c>
      <c r="JT82" s="1">
        <v>22.39</v>
      </c>
      <c r="JU82" s="1">
        <v>25.01</v>
      </c>
      <c r="JV82" s="1">
        <v>25.8</v>
      </c>
      <c r="JW82" s="1">
        <v>25.82</v>
      </c>
      <c r="JX82" s="1">
        <v>24.17</v>
      </c>
      <c r="JY82" s="1">
        <v>20.88</v>
      </c>
      <c r="JZ82" s="1">
        <v>18.899999999999999</v>
      </c>
      <c r="KA82" s="1">
        <v>17.43</v>
      </c>
      <c r="KB82" s="1">
        <v>17.88</v>
      </c>
      <c r="KC82" s="1">
        <v>19.77</v>
      </c>
      <c r="KD82" s="1">
        <v>20.309999999999999</v>
      </c>
      <c r="KE82" s="1"/>
      <c r="KF82" s="1"/>
      <c r="KG82" s="1">
        <v>28.34</v>
      </c>
      <c r="KH82" s="1">
        <v>27.82</v>
      </c>
      <c r="KI82" s="1">
        <v>24.66</v>
      </c>
      <c r="KJ82" s="1">
        <v>18.77</v>
      </c>
      <c r="KK82" s="1">
        <v>16.25</v>
      </c>
      <c r="KL82" s="1">
        <v>9.44</v>
      </c>
      <c r="KM82" s="1">
        <v>10.6</v>
      </c>
      <c r="KN82" s="1">
        <v>9.3699999999999992</v>
      </c>
      <c r="KO82" s="1">
        <v>9.73</v>
      </c>
      <c r="KP82" s="1">
        <v>10.32</v>
      </c>
      <c r="KQ82" s="1">
        <v>12.5</v>
      </c>
      <c r="KR82" s="1">
        <v>13.32</v>
      </c>
      <c r="KS82" s="1">
        <v>13.79</v>
      </c>
      <c r="KT82" s="1">
        <v>13.81</v>
      </c>
      <c r="KU82" s="1">
        <v>12.82</v>
      </c>
      <c r="KV82" s="1">
        <v>10.44</v>
      </c>
      <c r="KW82" s="1">
        <v>10.38</v>
      </c>
      <c r="KX82" s="1">
        <v>8.2899999999999991</v>
      </c>
      <c r="KY82" s="1">
        <v>8.27</v>
      </c>
      <c r="KZ82" s="1">
        <v>8.36</v>
      </c>
      <c r="LA82" s="1">
        <v>8.48</v>
      </c>
      <c r="LB82" s="1">
        <v>10.039999999999999</v>
      </c>
      <c r="LC82" s="1">
        <v>10.19</v>
      </c>
      <c r="LD82" s="1">
        <v>12.37</v>
      </c>
      <c r="LE82" s="1">
        <v>13.53</v>
      </c>
      <c r="LF82" s="1">
        <v>14.37</v>
      </c>
      <c r="LG82" s="1">
        <v>10.85</v>
      </c>
      <c r="LH82" s="1">
        <v>8.15</v>
      </c>
      <c r="LI82" s="1">
        <v>7.12</v>
      </c>
      <c r="LJ82" s="1">
        <v>5.0199999999999996</v>
      </c>
      <c r="LK82" s="1">
        <v>5.37</v>
      </c>
      <c r="LL82" s="1">
        <v>6.07</v>
      </c>
      <c r="LM82" s="1">
        <v>7.12</v>
      </c>
      <c r="LN82" s="1">
        <v>8.9</v>
      </c>
      <c r="LO82" s="1">
        <v>9.8000000000000007</v>
      </c>
      <c r="LP82" s="1">
        <v>9.8699999999999992</v>
      </c>
      <c r="LQ82" s="1">
        <v>10.49</v>
      </c>
      <c r="LR82" s="1">
        <v>12.45</v>
      </c>
      <c r="LS82" s="1">
        <v>9.5299999999999994</v>
      </c>
      <c r="LT82" s="1">
        <v>8.67</v>
      </c>
      <c r="LU82" s="1">
        <v>8.74</v>
      </c>
      <c r="LV82" s="1">
        <v>9.3699999999999992</v>
      </c>
      <c r="LW82" s="1">
        <v>10.71</v>
      </c>
      <c r="LX82" s="1">
        <v>10.71</v>
      </c>
      <c r="LY82" s="1">
        <v>11.2</v>
      </c>
      <c r="LZ82" s="1">
        <v>12.17</v>
      </c>
      <c r="MA82" s="1">
        <v>13.92</v>
      </c>
      <c r="MB82" s="1">
        <v>15.749999999999998</v>
      </c>
      <c r="MC82" s="1">
        <v>17.170000000000002</v>
      </c>
      <c r="MD82" s="1">
        <v>17.71</v>
      </c>
      <c r="ME82" s="1">
        <v>15.67</v>
      </c>
      <c r="MF82" s="1">
        <v>10.4</v>
      </c>
      <c r="MG82" s="1">
        <v>4.3899999999999997</v>
      </c>
      <c r="MH82" s="1">
        <v>4.67</v>
      </c>
      <c r="MI82" s="1">
        <v>5.86</v>
      </c>
      <c r="MJ82" s="1">
        <v>6.49</v>
      </c>
      <c r="MK82" s="1">
        <v>7.9700000000000006</v>
      </c>
      <c r="ML82" s="1">
        <v>9.67</v>
      </c>
      <c r="MM82" s="1">
        <v>10.57</v>
      </c>
      <c r="MN82" s="1">
        <v>12.07</v>
      </c>
      <c r="MO82" s="1">
        <v>13.34</v>
      </c>
      <c r="MP82" s="1">
        <v>13.8</v>
      </c>
      <c r="MQ82" s="1">
        <v>12.97</v>
      </c>
      <c r="MR82" s="1">
        <v>9.3699999999999992</v>
      </c>
      <c r="MS82" s="1">
        <v>5.27</v>
      </c>
      <c r="MT82">
        <v>4.57</v>
      </c>
      <c r="MU82">
        <v>4.38</v>
      </c>
    </row>
    <row r="83" spans="1:359" ht="15.75" x14ac:dyDescent="0.25">
      <c r="A83" s="8" t="s">
        <v>0</v>
      </c>
      <c r="B83" s="39">
        <v>20576</v>
      </c>
      <c r="C83" s="39" t="s">
        <v>116</v>
      </c>
      <c r="D83" s="39" t="s">
        <v>143</v>
      </c>
      <c r="E83" s="39" t="s">
        <v>145</v>
      </c>
      <c r="F83" s="39" t="s">
        <v>30</v>
      </c>
      <c r="G83" s="39" t="s">
        <v>209</v>
      </c>
      <c r="H83" s="41">
        <v>51.38</v>
      </c>
      <c r="I83" s="39" t="s">
        <v>61</v>
      </c>
      <c r="J83" s="40">
        <v>130.08865</v>
      </c>
      <c r="K83" s="39">
        <v>16.961030000000001</v>
      </c>
      <c r="L83" s="39">
        <v>80.796627000000001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>
        <v>5.6</v>
      </c>
      <c r="Z83" s="1">
        <v>6</v>
      </c>
      <c r="AA83" s="1">
        <v>6.39</v>
      </c>
      <c r="AB83" s="1">
        <v>7.17</v>
      </c>
      <c r="AC83" s="1">
        <v>9.9600000000000009</v>
      </c>
      <c r="AD83" s="1">
        <v>5.69</v>
      </c>
      <c r="AE83" s="1">
        <v>4.63</v>
      </c>
      <c r="AF83" s="1">
        <v>0.2</v>
      </c>
      <c r="AG83" s="1">
        <v>0.15</v>
      </c>
      <c r="AH83" s="1">
        <v>0.3</v>
      </c>
      <c r="AI83" s="1">
        <v>0.5</v>
      </c>
      <c r="AJ83" s="1">
        <v>0.97</v>
      </c>
      <c r="AK83" s="1">
        <v>1.1100000000000001</v>
      </c>
      <c r="AL83" s="1">
        <v>3.23</v>
      </c>
      <c r="AM83" s="1">
        <v>5.49</v>
      </c>
      <c r="AN83" s="1">
        <v>6</v>
      </c>
      <c r="AO83" s="1">
        <v>6.41</v>
      </c>
      <c r="AP83" s="1">
        <v>6.12</v>
      </c>
      <c r="AQ83" s="1">
        <v>6.94</v>
      </c>
      <c r="AR83" s="1">
        <v>1.25</v>
      </c>
      <c r="AS83" s="1">
        <v>4.91</v>
      </c>
      <c r="AT83" s="1">
        <v>4.99</v>
      </c>
      <c r="AU83" s="1">
        <v>2.66</v>
      </c>
      <c r="AV83" s="1">
        <v>5.55</v>
      </c>
      <c r="AW83" s="1">
        <v>7.27</v>
      </c>
      <c r="AX83" s="1">
        <v>10.34</v>
      </c>
      <c r="AY83" s="1">
        <v>11.39</v>
      </c>
      <c r="AZ83" s="1">
        <v>12</v>
      </c>
      <c r="BA83" s="1">
        <v>13.48</v>
      </c>
      <c r="BB83" s="1">
        <v>9.4</v>
      </c>
      <c r="BC83" s="1">
        <v>9.0500000000000007</v>
      </c>
      <c r="BD83" s="1">
        <v>7.0000000000000007E-2</v>
      </c>
      <c r="BE83" s="1">
        <v>6.69</v>
      </c>
      <c r="BF83" s="1">
        <v>5.44</v>
      </c>
      <c r="BG83" s="1">
        <v>5.15</v>
      </c>
      <c r="BH83" s="1">
        <v>8.98</v>
      </c>
      <c r="BI83" s="1">
        <v>9.73</v>
      </c>
      <c r="BJ83" s="1">
        <v>12.47</v>
      </c>
      <c r="BK83" s="1">
        <v>14.21</v>
      </c>
      <c r="BL83" s="1">
        <v>14</v>
      </c>
      <c r="BM83" s="1">
        <v>14.27</v>
      </c>
      <c r="BN83" s="1">
        <v>13.55</v>
      </c>
      <c r="BO83" s="1">
        <v>13.15</v>
      </c>
      <c r="BP83" s="1">
        <v>11.04</v>
      </c>
      <c r="BQ83" s="1">
        <v>16.98</v>
      </c>
      <c r="BR83" s="1">
        <v>8.65</v>
      </c>
      <c r="BS83" s="1">
        <v>11.83</v>
      </c>
      <c r="BT83" s="1">
        <v>10.46</v>
      </c>
      <c r="BU83" s="1">
        <v>10.19</v>
      </c>
      <c r="BV83" s="1">
        <v>13.92</v>
      </c>
      <c r="BW83" s="1">
        <v>16.09</v>
      </c>
      <c r="BX83" s="1">
        <v>15.32</v>
      </c>
      <c r="BY83" s="1">
        <v>17.559999999999999</v>
      </c>
      <c r="BZ83" s="1">
        <v>16.54</v>
      </c>
      <c r="CA83" s="1">
        <v>19.23</v>
      </c>
      <c r="CB83" s="1">
        <v>17.350000000000001</v>
      </c>
      <c r="CC83" s="1">
        <v>16.62</v>
      </c>
      <c r="CD83" s="1">
        <v>21.79</v>
      </c>
      <c r="CE83" s="1">
        <v>23.58</v>
      </c>
      <c r="CF83" s="1">
        <v>18.23</v>
      </c>
      <c r="CG83" s="1">
        <v>16.39</v>
      </c>
      <c r="CH83" s="1">
        <v>21.09</v>
      </c>
      <c r="CI83" s="1">
        <v>18.22</v>
      </c>
      <c r="CJ83" s="1">
        <v>21.25</v>
      </c>
      <c r="CK83" s="1">
        <v>21.37</v>
      </c>
      <c r="CL83" s="1">
        <v>19.68</v>
      </c>
      <c r="CM83" s="1">
        <v>18.04</v>
      </c>
      <c r="CN83" s="1">
        <v>12.7</v>
      </c>
      <c r="CO83" s="1">
        <v>13.4</v>
      </c>
      <c r="CP83" s="1">
        <v>14.49</v>
      </c>
      <c r="CQ83" s="1">
        <v>12.54</v>
      </c>
      <c r="CR83" s="1">
        <v>7.94</v>
      </c>
      <c r="CS83" s="1">
        <v>8.1300000000000008</v>
      </c>
      <c r="CT83" s="1">
        <v>10.69</v>
      </c>
      <c r="CU83" s="1">
        <v>12.37</v>
      </c>
      <c r="CV83" s="1">
        <v>16.57</v>
      </c>
      <c r="CW83" s="1">
        <v>15.16</v>
      </c>
      <c r="CX83" s="1">
        <v>13.75</v>
      </c>
      <c r="CY83" s="1">
        <v>11.54</v>
      </c>
      <c r="CZ83" s="1">
        <v>7.43</v>
      </c>
      <c r="DA83" s="1">
        <v>6.32</v>
      </c>
      <c r="DB83" s="1">
        <v>8.5</v>
      </c>
      <c r="DC83" s="1">
        <v>9.64</v>
      </c>
      <c r="DD83" s="1">
        <v>8.8000000000000007</v>
      </c>
      <c r="DE83" s="1">
        <v>10.64</v>
      </c>
      <c r="DF83" s="1">
        <v>11.48</v>
      </c>
      <c r="DG83" s="1">
        <v>13</v>
      </c>
      <c r="DH83" s="1">
        <v>15.09</v>
      </c>
      <c r="DI83" s="1">
        <v>14.17</v>
      </c>
      <c r="DJ83" s="1">
        <v>13</v>
      </c>
      <c r="DK83" s="1">
        <v>11.52</v>
      </c>
      <c r="DL83" s="1">
        <v>5.0599999999999996</v>
      </c>
      <c r="DM83" s="1">
        <v>1.01</v>
      </c>
      <c r="DN83" s="1">
        <v>0.36</v>
      </c>
      <c r="DO83" s="1">
        <v>1.6</v>
      </c>
      <c r="DP83" s="1">
        <v>2.29</v>
      </c>
      <c r="DQ83" s="1">
        <v>2.86</v>
      </c>
      <c r="DR83" s="1">
        <v>5.61</v>
      </c>
      <c r="DS83" s="1">
        <v>5.99</v>
      </c>
      <c r="DT83" s="1">
        <v>6.68</v>
      </c>
      <c r="DU83" s="1">
        <v>6.86</v>
      </c>
      <c r="DV83" s="1">
        <v>7.24</v>
      </c>
      <c r="DW83" s="1">
        <v>6.98</v>
      </c>
      <c r="DX83" s="1">
        <v>4.7</v>
      </c>
      <c r="DY83" s="1">
        <v>1.35</v>
      </c>
      <c r="DZ83" s="1">
        <v>6.36</v>
      </c>
      <c r="EA83" s="1">
        <v>5.47</v>
      </c>
      <c r="EB83" s="1">
        <v>5.88</v>
      </c>
      <c r="EC83" s="1">
        <v>5.97</v>
      </c>
      <c r="ED83" s="1">
        <v>9.61</v>
      </c>
      <c r="EE83" s="1">
        <v>9.7100000000000009</v>
      </c>
      <c r="EF83" s="1">
        <v>9.48</v>
      </c>
      <c r="EG83" s="1">
        <v>11.86</v>
      </c>
      <c r="EH83" s="1">
        <v>9</v>
      </c>
      <c r="EI83" s="1">
        <v>3.84</v>
      </c>
      <c r="EJ83" s="1">
        <v>3.39</v>
      </c>
      <c r="EK83" s="1">
        <v>0.8</v>
      </c>
      <c r="EL83" s="1">
        <v>1.18</v>
      </c>
      <c r="EM83" s="1">
        <v>1.65</v>
      </c>
      <c r="EN83" s="1">
        <v>2.67</v>
      </c>
      <c r="EO83" s="1">
        <v>4.5999999999999996</v>
      </c>
      <c r="EP83" s="1">
        <v>5.21</v>
      </c>
      <c r="EQ83" s="1">
        <v>9.5399999999999991</v>
      </c>
      <c r="ER83" s="1">
        <v>7.43</v>
      </c>
      <c r="ES83" s="1">
        <v>10.48</v>
      </c>
      <c r="ET83" s="1">
        <v>7.38</v>
      </c>
      <c r="EU83" s="1">
        <v>7.06</v>
      </c>
      <c r="EV83" s="1">
        <v>3.08</v>
      </c>
      <c r="EW83" s="1">
        <v>2.31</v>
      </c>
      <c r="EX83" s="1">
        <v>5.63</v>
      </c>
      <c r="EY83" s="1">
        <v>4.72</v>
      </c>
      <c r="EZ83" s="1">
        <v>5.0599999999999996</v>
      </c>
      <c r="FA83" s="1">
        <v>6.32</v>
      </c>
      <c r="FB83" s="1">
        <v>8.3000000000000007</v>
      </c>
      <c r="FC83" s="1">
        <v>9.7799999999999994</v>
      </c>
      <c r="FD83" s="1">
        <v>12.72</v>
      </c>
      <c r="FE83" s="1">
        <v>11.09</v>
      </c>
      <c r="FF83" s="1">
        <v>9.2200000000000006</v>
      </c>
      <c r="FG83" s="1">
        <v>9.4600000000000009</v>
      </c>
      <c r="FH83" s="1">
        <v>14</v>
      </c>
      <c r="FI83" s="1">
        <v>15.04</v>
      </c>
      <c r="FJ83" s="1">
        <v>15.24</v>
      </c>
      <c r="FK83" s="1">
        <v>13.98</v>
      </c>
      <c r="FL83" s="1">
        <v>14.87</v>
      </c>
      <c r="FM83" s="1">
        <v>17.97</v>
      </c>
      <c r="FN83" s="1">
        <v>22.35</v>
      </c>
      <c r="FO83" s="1">
        <v>23.05</v>
      </c>
      <c r="FP83" s="1">
        <v>23.45</v>
      </c>
      <c r="FQ83" s="1">
        <v>23.95</v>
      </c>
      <c r="FR83" s="1">
        <v>12.95</v>
      </c>
      <c r="FS83" s="1">
        <v>9.43</v>
      </c>
      <c r="FT83" s="1">
        <v>3.09</v>
      </c>
      <c r="FU83" s="1">
        <v>2.5299999999999998</v>
      </c>
      <c r="FV83" s="1">
        <v>1.27</v>
      </c>
      <c r="FW83" s="1">
        <v>1.05</v>
      </c>
      <c r="FX83" s="1">
        <v>1.05</v>
      </c>
      <c r="FY83" s="1">
        <v>1.6</v>
      </c>
      <c r="FZ83" s="1">
        <v>1.99</v>
      </c>
      <c r="GA83" s="1">
        <v>6.75</v>
      </c>
      <c r="GB83" s="1">
        <v>6.85</v>
      </c>
      <c r="GC83" s="1">
        <v>7.2</v>
      </c>
      <c r="GD83" s="1">
        <v>6.08</v>
      </c>
      <c r="GE83" s="1">
        <v>4.5</v>
      </c>
      <c r="GF83" s="1">
        <v>3.3</v>
      </c>
      <c r="GG83" s="1">
        <v>4.6500000000000004</v>
      </c>
      <c r="GH83" s="1">
        <v>7.3</v>
      </c>
      <c r="GI83" s="1">
        <v>8.75</v>
      </c>
      <c r="GJ83" s="1">
        <v>9.5500000000000007</v>
      </c>
      <c r="GK83" s="1">
        <v>8.1</v>
      </c>
      <c r="GL83" s="1">
        <v>11.78</v>
      </c>
      <c r="GM83" s="1">
        <v>13.29</v>
      </c>
      <c r="GN83" s="1">
        <v>15.13</v>
      </c>
      <c r="GO83" s="1">
        <v>12.14</v>
      </c>
      <c r="GP83" s="1">
        <v>12.29</v>
      </c>
      <c r="GQ83" s="1">
        <v>12.65</v>
      </c>
      <c r="GR83" s="1">
        <v>9.59</v>
      </c>
      <c r="GS83" s="1">
        <v>4.95</v>
      </c>
      <c r="GT83" s="1">
        <v>2.44</v>
      </c>
      <c r="GU83" s="1">
        <v>1.02</v>
      </c>
      <c r="GV83" s="1">
        <v>2.34</v>
      </c>
      <c r="GW83" s="1">
        <v>3.05</v>
      </c>
      <c r="GX83" s="1">
        <v>4.3</v>
      </c>
      <c r="GY83" s="1">
        <v>6.87</v>
      </c>
      <c r="GZ83" s="1">
        <v>7.75</v>
      </c>
      <c r="HA83" s="1">
        <v>9.6999999999999993</v>
      </c>
      <c r="HB83" s="1">
        <v>8</v>
      </c>
      <c r="HC83" s="1">
        <v>4.8899999999999997</v>
      </c>
      <c r="HD83" s="1">
        <v>3.92</v>
      </c>
      <c r="HE83" s="1">
        <v>4.32</v>
      </c>
      <c r="HF83" s="1">
        <v>0.85</v>
      </c>
      <c r="HG83" s="1">
        <v>1.8</v>
      </c>
      <c r="HH83" s="1">
        <v>1.96</v>
      </c>
      <c r="HI83" s="1">
        <v>5.65</v>
      </c>
      <c r="HJ83" s="1">
        <v>7.69</v>
      </c>
      <c r="HK83" s="1">
        <v>8.77</v>
      </c>
      <c r="HL83" s="1">
        <v>9.73</v>
      </c>
      <c r="HM83" s="1">
        <v>8.7799999999999994</v>
      </c>
      <c r="HN83" s="1">
        <v>10.26</v>
      </c>
      <c r="HO83" s="1">
        <v>10.33</v>
      </c>
      <c r="HP83" s="1">
        <v>11.59</v>
      </c>
      <c r="HQ83" s="1">
        <v>6.28</v>
      </c>
      <c r="HR83" s="1">
        <v>8.4</v>
      </c>
      <c r="HS83" s="1">
        <v>6.58</v>
      </c>
      <c r="HT83" s="1">
        <v>8.7799999999999994</v>
      </c>
      <c r="HU83" s="1">
        <v>10.08</v>
      </c>
      <c r="HV83" s="1">
        <v>12.58</v>
      </c>
      <c r="HW83" s="1">
        <v>14.85</v>
      </c>
      <c r="HX83" s="1">
        <v>12.74</v>
      </c>
      <c r="HY83" s="1">
        <v>12.48</v>
      </c>
      <c r="HZ83" s="1">
        <v>9.58</v>
      </c>
      <c r="IA83" s="1">
        <v>9.25</v>
      </c>
      <c r="IB83" s="1">
        <v>9.7799999999999994</v>
      </c>
      <c r="IC83" s="1">
        <v>7.67</v>
      </c>
      <c r="ID83" s="1">
        <v>8.77</v>
      </c>
      <c r="IE83" s="1">
        <v>8.92</v>
      </c>
      <c r="IF83" s="1">
        <v>9.07</v>
      </c>
      <c r="IG83" s="1">
        <v>11.97</v>
      </c>
      <c r="IH83" s="1">
        <v>15.99</v>
      </c>
      <c r="II83" s="1">
        <v>20</v>
      </c>
      <c r="IJ83" s="1">
        <v>19.5</v>
      </c>
      <c r="IK83" s="1">
        <v>18.82</v>
      </c>
      <c r="IL83" s="1">
        <v>16.23</v>
      </c>
      <c r="IM83" s="1">
        <v>14.07</v>
      </c>
      <c r="IN83" s="1">
        <v>16.45</v>
      </c>
      <c r="IO83" s="1">
        <v>9.76</v>
      </c>
      <c r="IP83" s="1">
        <v>6.4</v>
      </c>
      <c r="IQ83" s="1">
        <v>6.53</v>
      </c>
      <c r="IR83" s="1">
        <v>7.99</v>
      </c>
      <c r="IS83" s="1">
        <v>6.87</v>
      </c>
      <c r="IT83" s="1">
        <v>8.24</v>
      </c>
      <c r="IU83" s="1">
        <v>9.5500000000000007</v>
      </c>
      <c r="IV83" s="1">
        <v>11.38</v>
      </c>
      <c r="IW83" s="1">
        <v>16.53</v>
      </c>
      <c r="IX83" s="1">
        <v>13.26</v>
      </c>
      <c r="IY83" s="1">
        <v>11.86</v>
      </c>
      <c r="IZ83" s="1">
        <v>12.8</v>
      </c>
      <c r="JA83" s="1">
        <v>10.59</v>
      </c>
      <c r="JB83" s="1">
        <v>8.84</v>
      </c>
      <c r="JC83" s="1">
        <v>9.49</v>
      </c>
      <c r="JD83" s="1">
        <v>10.54</v>
      </c>
      <c r="JE83" s="1">
        <v>11.69</v>
      </c>
      <c r="JF83" s="1">
        <v>16.28</v>
      </c>
      <c r="JG83" s="1">
        <v>19.87</v>
      </c>
      <c r="JH83" s="1">
        <v>18.22</v>
      </c>
      <c r="JI83" s="1">
        <v>17.77</v>
      </c>
      <c r="JJ83" s="1">
        <v>15.5</v>
      </c>
      <c r="JK83" s="1">
        <v>15.92</v>
      </c>
      <c r="JL83" s="1">
        <v>9.2100000000000009</v>
      </c>
      <c r="JM83" s="1">
        <v>9.6</v>
      </c>
      <c r="JN83" s="1">
        <v>9.52</v>
      </c>
      <c r="JO83" s="1">
        <v>13.4</v>
      </c>
      <c r="JP83" s="1">
        <v>10.56</v>
      </c>
      <c r="JQ83" s="1">
        <v>9.9700000000000006</v>
      </c>
      <c r="JR83" s="1">
        <v>11.14</v>
      </c>
      <c r="JS83" s="1">
        <v>13.29</v>
      </c>
      <c r="JT83" s="1">
        <v>17.18</v>
      </c>
      <c r="JU83" s="1">
        <v>17.39</v>
      </c>
      <c r="JV83" s="1">
        <v>14.99</v>
      </c>
      <c r="JW83" s="1">
        <v>13.74</v>
      </c>
      <c r="JX83" s="1">
        <v>14.83</v>
      </c>
      <c r="JY83" s="1">
        <v>13.61</v>
      </c>
      <c r="JZ83" s="1">
        <v>7.34</v>
      </c>
      <c r="KA83" s="1">
        <v>6.61</v>
      </c>
      <c r="KB83" s="1">
        <v>6.84</v>
      </c>
      <c r="KC83" s="1">
        <v>7.09</v>
      </c>
      <c r="KD83" s="1">
        <v>7.33</v>
      </c>
      <c r="KE83" s="1"/>
      <c r="KF83" s="1"/>
      <c r="KG83" s="1">
        <v>16.940000000000001</v>
      </c>
      <c r="KH83" s="1">
        <v>12.4</v>
      </c>
      <c r="KI83" s="1">
        <v>8.0299999999999994</v>
      </c>
      <c r="KJ83" s="1">
        <v>5.66</v>
      </c>
      <c r="KK83" s="1">
        <v>5.51</v>
      </c>
      <c r="KL83" s="1">
        <v>0.54</v>
      </c>
      <c r="KM83" s="1">
        <v>1.61</v>
      </c>
      <c r="KN83" s="1">
        <v>1.49</v>
      </c>
      <c r="KO83" s="1">
        <v>3.26</v>
      </c>
      <c r="KP83" s="1">
        <v>3.97</v>
      </c>
      <c r="KQ83" s="1">
        <v>6.57</v>
      </c>
      <c r="KR83" s="1">
        <v>5.59</v>
      </c>
      <c r="KS83" s="1">
        <v>8.09</v>
      </c>
      <c r="KT83" s="1">
        <v>7.44</v>
      </c>
      <c r="KU83" s="1">
        <v>6.64</v>
      </c>
      <c r="KV83" s="1">
        <v>5.78</v>
      </c>
      <c r="KW83" s="1">
        <v>2.77</v>
      </c>
      <c r="KX83" s="1">
        <v>2.42</v>
      </c>
      <c r="KY83" s="1">
        <v>0.54</v>
      </c>
      <c r="KZ83" s="1">
        <v>1.41</v>
      </c>
      <c r="LA83" s="1">
        <v>2.27</v>
      </c>
      <c r="LB83" s="1">
        <v>2.4500000000000002</v>
      </c>
      <c r="LC83" s="1">
        <v>3.58</v>
      </c>
      <c r="LD83" s="1">
        <v>6.64</v>
      </c>
      <c r="LE83" s="1">
        <v>6.77</v>
      </c>
      <c r="LF83" s="1">
        <v>7</v>
      </c>
      <c r="LG83" s="1">
        <v>2.67</v>
      </c>
      <c r="LH83" s="1">
        <v>1.2199999999999998</v>
      </c>
      <c r="LI83" s="1">
        <v>0.56000000000000005</v>
      </c>
      <c r="LJ83" s="1">
        <v>0.29000000000000004</v>
      </c>
      <c r="LK83" s="1">
        <v>0.52999999999999992</v>
      </c>
      <c r="LL83" s="1">
        <v>1.1199999999999999</v>
      </c>
      <c r="LM83" s="1">
        <v>1.79</v>
      </c>
      <c r="LN83" s="1">
        <v>3.85</v>
      </c>
      <c r="LO83" s="1">
        <v>3.94</v>
      </c>
      <c r="LP83" s="1">
        <v>5.2899999999999991</v>
      </c>
      <c r="LQ83" s="1">
        <v>6.09</v>
      </c>
      <c r="LR83" s="1">
        <v>7.25</v>
      </c>
      <c r="LS83" s="1">
        <v>3.7099999999999995</v>
      </c>
      <c r="LT83" s="1">
        <v>3.4</v>
      </c>
      <c r="LU83" s="1">
        <v>3.44</v>
      </c>
      <c r="LV83" s="1">
        <v>5.2899999999999991</v>
      </c>
      <c r="LW83" s="1">
        <v>5.58</v>
      </c>
      <c r="LX83" s="1">
        <v>5.1999999999999993</v>
      </c>
      <c r="LY83" s="1">
        <v>4.82</v>
      </c>
      <c r="LZ83" s="1">
        <v>7.16</v>
      </c>
      <c r="MA83" s="1">
        <v>9.49</v>
      </c>
      <c r="MB83" s="1">
        <v>10.119999999999999</v>
      </c>
      <c r="MC83" s="1">
        <v>10.58</v>
      </c>
      <c r="MD83" s="1">
        <v>7.48</v>
      </c>
      <c r="ME83" s="1">
        <v>3.19</v>
      </c>
      <c r="MF83" s="1">
        <v>2.35</v>
      </c>
      <c r="MG83" s="1">
        <v>1.06</v>
      </c>
      <c r="MH83" s="1">
        <v>0.95</v>
      </c>
      <c r="MI83" s="1">
        <v>1.54</v>
      </c>
      <c r="MJ83" s="1">
        <v>1.9899999999999998</v>
      </c>
      <c r="MK83" s="1">
        <v>2.4</v>
      </c>
      <c r="ML83" s="1">
        <v>3.89</v>
      </c>
      <c r="MM83" s="1">
        <v>5.8900000000000006</v>
      </c>
      <c r="MN83" s="1">
        <v>5.7899999999999991</v>
      </c>
      <c r="MO83" s="1">
        <v>4.34</v>
      </c>
      <c r="MP83" s="1">
        <v>4.8900000000000006</v>
      </c>
      <c r="MQ83" s="1">
        <v>2.19</v>
      </c>
      <c r="MR83" s="1">
        <v>1.0899999999999999</v>
      </c>
      <c r="MS83" s="1">
        <v>1.0899999999999999</v>
      </c>
      <c r="MT83">
        <v>8.99999999999999E-2</v>
      </c>
      <c r="MU83">
        <v>0.55000000000000004</v>
      </c>
    </row>
    <row r="84" spans="1:359" ht="15.75" x14ac:dyDescent="0.25">
      <c r="A84" s="8" t="s">
        <v>0</v>
      </c>
      <c r="B84" s="39">
        <v>20563</v>
      </c>
      <c r="C84" s="39" t="s">
        <v>116</v>
      </c>
      <c r="D84" s="39" t="s">
        <v>146</v>
      </c>
      <c r="E84" s="39" t="s">
        <v>146</v>
      </c>
      <c r="F84" s="39" t="s">
        <v>147</v>
      </c>
      <c r="G84" s="39" t="s">
        <v>209</v>
      </c>
      <c r="H84" s="41">
        <v>24.38</v>
      </c>
      <c r="I84" s="39" t="s">
        <v>119</v>
      </c>
      <c r="J84" s="40">
        <v>71.964100000000002</v>
      </c>
      <c r="K84" s="39">
        <v>16.9753206</v>
      </c>
      <c r="L84" s="39">
        <v>80.243945499999995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>
        <v>5.5</v>
      </c>
      <c r="AA84" s="1">
        <v>3</v>
      </c>
      <c r="AB84" s="1">
        <v>3.88</v>
      </c>
      <c r="AC84" s="1">
        <v>3.93</v>
      </c>
      <c r="AD84" s="1">
        <v>3.9</v>
      </c>
      <c r="AE84" s="1">
        <v>3.83</v>
      </c>
      <c r="AF84" s="1">
        <v>1.45</v>
      </c>
      <c r="AG84" s="1">
        <v>0.9</v>
      </c>
      <c r="AH84" s="1">
        <v>0.8</v>
      </c>
      <c r="AI84" s="1">
        <v>0.7</v>
      </c>
      <c r="AJ84" s="1">
        <v>1</v>
      </c>
      <c r="AK84" s="1">
        <v>1.82</v>
      </c>
      <c r="AL84" s="1">
        <v>1.9</v>
      </c>
      <c r="AM84" s="1">
        <v>2.11</v>
      </c>
      <c r="AN84" s="1">
        <v>3.3</v>
      </c>
      <c r="AO84" s="1">
        <v>3.95</v>
      </c>
      <c r="AP84" s="1">
        <v>1.99</v>
      </c>
      <c r="AQ84" s="1">
        <v>0.79</v>
      </c>
      <c r="AR84" s="1">
        <v>0.88</v>
      </c>
      <c r="AS84" s="1">
        <v>0.94</v>
      </c>
      <c r="AT84" s="1">
        <v>1.21</v>
      </c>
      <c r="AU84" s="1">
        <v>1.42</v>
      </c>
      <c r="AV84" s="1">
        <v>2</v>
      </c>
      <c r="AW84" s="1">
        <v>2.57</v>
      </c>
      <c r="AX84" s="1">
        <v>2.6</v>
      </c>
      <c r="AY84" s="1">
        <v>2.64</v>
      </c>
      <c r="AZ84" s="1">
        <v>2.71</v>
      </c>
      <c r="BA84" s="1">
        <v>2.99</v>
      </c>
      <c r="BB84" s="1">
        <v>2.2999999999999998</v>
      </c>
      <c r="BC84" s="1">
        <v>0.62</v>
      </c>
      <c r="BD84" s="1">
        <v>0</v>
      </c>
      <c r="BE84" s="1">
        <v>1.1499999999999999</v>
      </c>
      <c r="BF84" s="1">
        <v>2.1800000000000002</v>
      </c>
      <c r="BG84" s="1">
        <v>2.75</v>
      </c>
      <c r="BH84" s="1">
        <v>3.17</v>
      </c>
      <c r="BI84" s="1">
        <v>3</v>
      </c>
      <c r="BJ84" s="1">
        <v>2.2599999999999998</v>
      </c>
      <c r="BK84" s="1">
        <v>2.5099999999999998</v>
      </c>
      <c r="BL84" s="1">
        <v>2.76</v>
      </c>
      <c r="BM84" s="1">
        <v>3.19</v>
      </c>
      <c r="BN84" s="1">
        <v>2.95</v>
      </c>
      <c r="BO84" s="1">
        <v>3.09</v>
      </c>
      <c r="BP84" s="1">
        <v>3.29</v>
      </c>
      <c r="BQ84" s="1">
        <v>2.4700000000000002</v>
      </c>
      <c r="BR84" s="1">
        <v>1.1299999999999999</v>
      </c>
      <c r="BS84" s="1">
        <v>1.77</v>
      </c>
      <c r="BT84" s="1">
        <v>2.2200000000000002</v>
      </c>
      <c r="BU84" s="1">
        <v>2.46</v>
      </c>
      <c r="BV84" s="1">
        <v>2.72</v>
      </c>
      <c r="BW84" s="1">
        <v>2.71</v>
      </c>
      <c r="BX84" s="1">
        <v>3.14</v>
      </c>
      <c r="BY84" s="1">
        <v>3.42</v>
      </c>
      <c r="BZ84" s="1">
        <v>3.48</v>
      </c>
      <c r="CA84" s="1">
        <v>3.78</v>
      </c>
      <c r="CB84" s="1">
        <v>2.72</v>
      </c>
      <c r="CC84" s="1">
        <v>2.64</v>
      </c>
      <c r="CD84" s="1">
        <v>2.19</v>
      </c>
      <c r="CE84" s="1">
        <v>2.64</v>
      </c>
      <c r="CF84" s="1">
        <v>3.13</v>
      </c>
      <c r="CG84" s="1">
        <v>3.5</v>
      </c>
      <c r="CH84" s="1">
        <v>3.89</v>
      </c>
      <c r="CI84" s="1">
        <v>3.5</v>
      </c>
      <c r="CJ84" s="1">
        <v>3.07</v>
      </c>
      <c r="CK84" s="1">
        <v>4.79</v>
      </c>
      <c r="CL84" s="1">
        <v>4.3899999999999997</v>
      </c>
      <c r="CM84" s="1">
        <v>3.32</v>
      </c>
      <c r="CN84" s="1">
        <v>1.54</v>
      </c>
      <c r="CO84" s="1">
        <v>0.9</v>
      </c>
      <c r="CP84" s="1">
        <v>0.86</v>
      </c>
      <c r="CQ84" s="1">
        <v>1.44</v>
      </c>
      <c r="CR84" s="1">
        <v>1.71</v>
      </c>
      <c r="CS84" s="1">
        <v>2.16</v>
      </c>
      <c r="CT84" s="1">
        <v>2.38</v>
      </c>
      <c r="CU84" s="1">
        <v>2.68</v>
      </c>
      <c r="CV84" s="1">
        <v>3.14</v>
      </c>
      <c r="CW84" s="1">
        <v>3.22</v>
      </c>
      <c r="CX84" s="1">
        <v>3.19</v>
      </c>
      <c r="CY84" s="1">
        <v>2.95</v>
      </c>
      <c r="CZ84" s="1">
        <v>0.56999999999999995</v>
      </c>
      <c r="DA84" s="1">
        <v>1.44</v>
      </c>
      <c r="DB84" s="1">
        <v>1.76</v>
      </c>
      <c r="DC84" s="1">
        <v>2.3199999999999998</v>
      </c>
      <c r="DD84" s="1">
        <v>2.64</v>
      </c>
      <c r="DE84" s="1">
        <v>2.93</v>
      </c>
      <c r="DF84" s="1">
        <v>3.08</v>
      </c>
      <c r="DG84" s="1">
        <v>2.04</v>
      </c>
      <c r="DH84" s="1">
        <v>3.83</v>
      </c>
      <c r="DI84" s="1">
        <v>3.99</v>
      </c>
      <c r="DJ84" s="1">
        <v>2.8</v>
      </c>
      <c r="DK84" s="1">
        <v>1.04</v>
      </c>
      <c r="DL84" s="1">
        <v>1.55</v>
      </c>
      <c r="DM84" s="1">
        <v>0.14000000000000001</v>
      </c>
      <c r="DN84" s="1">
        <v>0.02</v>
      </c>
      <c r="DO84" s="1">
        <v>0.21</v>
      </c>
      <c r="DP84" s="1">
        <v>0.79</v>
      </c>
      <c r="DQ84" s="1">
        <v>1.3</v>
      </c>
      <c r="DR84" s="1">
        <v>1.74</v>
      </c>
      <c r="DS84" s="1">
        <v>1.86</v>
      </c>
      <c r="DT84" s="1">
        <v>1.5</v>
      </c>
      <c r="DU84" s="1">
        <v>2.0499999999999998</v>
      </c>
      <c r="DV84" s="1">
        <v>2.2599999999999998</v>
      </c>
      <c r="DW84" s="1">
        <v>2.61</v>
      </c>
      <c r="DX84" s="1">
        <v>1.47</v>
      </c>
      <c r="DY84" s="1">
        <v>1</v>
      </c>
      <c r="DZ84" s="1">
        <v>0.97</v>
      </c>
      <c r="EA84" s="1">
        <v>1.1599999999999999</v>
      </c>
      <c r="EB84" s="1">
        <v>1.81</v>
      </c>
      <c r="EC84" s="1">
        <v>2.0099999999999998</v>
      </c>
      <c r="ED84" s="1">
        <v>2.21</v>
      </c>
      <c r="EE84" s="1">
        <v>2.4700000000000002</v>
      </c>
      <c r="EF84" s="1">
        <v>2.52</v>
      </c>
      <c r="EG84" s="1">
        <v>2.67</v>
      </c>
      <c r="EH84" s="1">
        <v>1.95</v>
      </c>
      <c r="EI84" s="1">
        <v>1.46</v>
      </c>
      <c r="EJ84" s="1">
        <v>1.69</v>
      </c>
      <c r="EK84" s="1">
        <v>1.68</v>
      </c>
      <c r="EL84" s="1">
        <v>0.86</v>
      </c>
      <c r="EM84" s="1">
        <v>1.24</v>
      </c>
      <c r="EN84" s="1">
        <v>1.26</v>
      </c>
      <c r="EO84" s="1">
        <v>1.97</v>
      </c>
      <c r="EP84" s="1">
        <v>1.81</v>
      </c>
      <c r="EQ84" s="1">
        <v>1.89</v>
      </c>
      <c r="ER84" s="1">
        <v>2.1800000000000002</v>
      </c>
      <c r="ES84" s="1">
        <v>2.56</v>
      </c>
      <c r="ET84" s="1">
        <v>2.56</v>
      </c>
      <c r="EU84" s="1">
        <v>1.44</v>
      </c>
      <c r="EV84" s="1">
        <v>0.09</v>
      </c>
      <c r="EW84" s="1">
        <v>0.01</v>
      </c>
      <c r="EX84" s="1">
        <v>0.59</v>
      </c>
      <c r="EY84" s="1">
        <v>0.93</v>
      </c>
      <c r="EZ84" s="1">
        <v>1.19</v>
      </c>
      <c r="FA84" s="1">
        <v>1.37</v>
      </c>
      <c r="FB84" s="1">
        <v>1.7</v>
      </c>
      <c r="FC84" s="1">
        <v>2</v>
      </c>
      <c r="FD84" s="1">
        <v>2.29</v>
      </c>
      <c r="FE84" s="1">
        <v>2.33</v>
      </c>
      <c r="FF84" s="1">
        <v>2.71</v>
      </c>
      <c r="FG84" s="1">
        <v>2.54</v>
      </c>
      <c r="FH84" s="1">
        <v>1.34</v>
      </c>
      <c r="FI84" s="1">
        <v>1.64</v>
      </c>
      <c r="FJ84" s="1">
        <v>0.77</v>
      </c>
      <c r="FK84" s="1">
        <v>0.95</v>
      </c>
      <c r="FL84" s="1">
        <v>0.84</v>
      </c>
      <c r="FM84" s="1">
        <v>0.98</v>
      </c>
      <c r="FN84" s="1">
        <v>1.27</v>
      </c>
      <c r="FO84" s="1">
        <v>1.59</v>
      </c>
      <c r="FP84" s="1">
        <v>1.79</v>
      </c>
      <c r="FQ84" s="1">
        <v>2.21</v>
      </c>
      <c r="FR84" s="1">
        <v>1.41</v>
      </c>
      <c r="FS84" s="1">
        <v>0.17</v>
      </c>
      <c r="FT84" s="1">
        <v>7.0000000000000007E-2</v>
      </c>
      <c r="FU84" s="1">
        <v>0.1</v>
      </c>
      <c r="FV84" s="1">
        <v>0.1</v>
      </c>
      <c r="FW84" s="1">
        <v>0.19</v>
      </c>
      <c r="FX84" s="1">
        <v>0.24</v>
      </c>
      <c r="FY84" s="1">
        <v>0.59</v>
      </c>
      <c r="FZ84" s="1">
        <v>1.43</v>
      </c>
      <c r="GA84" s="1">
        <v>0.87</v>
      </c>
      <c r="GB84" s="1">
        <v>1.1299999999999999</v>
      </c>
      <c r="GC84" s="1">
        <v>1.54</v>
      </c>
      <c r="GD84" s="1">
        <v>1.27</v>
      </c>
      <c r="GE84" s="1">
        <v>0.74</v>
      </c>
      <c r="GF84" s="1">
        <v>0.74</v>
      </c>
      <c r="GG84" s="1">
        <v>0.36</v>
      </c>
      <c r="GH84" s="1">
        <v>0.94</v>
      </c>
      <c r="GI84" s="1">
        <v>1.39</v>
      </c>
      <c r="GJ84" s="1">
        <v>1.67</v>
      </c>
      <c r="GK84" s="1">
        <v>1.35</v>
      </c>
      <c r="GL84" s="1">
        <v>1.74</v>
      </c>
      <c r="GM84" s="1">
        <v>2.1800000000000002</v>
      </c>
      <c r="GN84" s="1">
        <v>2.4300000000000002</v>
      </c>
      <c r="GO84" s="1">
        <v>2.69</v>
      </c>
      <c r="GP84" s="1">
        <v>2.65</v>
      </c>
      <c r="GQ84" s="1">
        <v>2.54</v>
      </c>
      <c r="GR84" s="1">
        <v>1.1299999999999999</v>
      </c>
      <c r="GS84" s="1">
        <v>0.09</v>
      </c>
      <c r="GT84" s="1">
        <v>0.39</v>
      </c>
      <c r="GU84" s="1">
        <v>0.14000000000000001</v>
      </c>
      <c r="GV84" s="1">
        <v>0.62</v>
      </c>
      <c r="GW84" s="1">
        <v>1.04</v>
      </c>
      <c r="GX84" s="1">
        <v>1.19</v>
      </c>
      <c r="GY84" s="1">
        <v>1.59</v>
      </c>
      <c r="GZ84" s="1">
        <v>2.04</v>
      </c>
      <c r="HA84" s="1">
        <v>2.14</v>
      </c>
      <c r="HB84" s="1">
        <v>2.09</v>
      </c>
      <c r="HC84" s="1">
        <v>1.1000000000000001</v>
      </c>
      <c r="HD84" s="1">
        <v>1.01</v>
      </c>
      <c r="HE84" s="1">
        <v>1</v>
      </c>
      <c r="HF84" s="1">
        <v>0.44</v>
      </c>
      <c r="HG84" s="1">
        <v>0.28999999999999998</v>
      </c>
      <c r="HH84" s="1">
        <v>0.49</v>
      </c>
      <c r="HI84" s="1">
        <v>0.62</v>
      </c>
      <c r="HJ84" s="1">
        <v>1.03</v>
      </c>
      <c r="HK84" s="1">
        <v>2.2000000000000002</v>
      </c>
      <c r="HL84" s="1">
        <v>2.9</v>
      </c>
      <c r="HM84" s="1">
        <v>2.3199999999999998</v>
      </c>
      <c r="HN84" s="1">
        <v>2.86</v>
      </c>
      <c r="HO84" s="1">
        <v>2.92</v>
      </c>
      <c r="HP84" s="1">
        <v>2.64</v>
      </c>
      <c r="HQ84" s="1">
        <v>1.62</v>
      </c>
      <c r="HR84" s="1">
        <v>2.1</v>
      </c>
      <c r="HS84" s="1">
        <v>2.0699999999999998</v>
      </c>
      <c r="HT84" s="1">
        <v>2.5</v>
      </c>
      <c r="HU84" s="1">
        <v>2.7</v>
      </c>
      <c r="HV84" s="1">
        <v>2.79</v>
      </c>
      <c r="HW84" s="1">
        <v>3.15</v>
      </c>
      <c r="HX84" s="1">
        <v>3.22</v>
      </c>
      <c r="HY84" s="1">
        <v>3.46</v>
      </c>
      <c r="HZ84" s="1">
        <v>1.86</v>
      </c>
      <c r="IA84" s="1">
        <v>2.41</v>
      </c>
      <c r="IB84" s="1">
        <v>2.23</v>
      </c>
      <c r="IC84" s="1">
        <v>0.23</v>
      </c>
      <c r="ID84" s="1">
        <v>1.97</v>
      </c>
      <c r="IE84" s="1">
        <v>2</v>
      </c>
      <c r="IF84" s="1">
        <v>3.03</v>
      </c>
      <c r="IG84" s="1">
        <v>4</v>
      </c>
      <c r="IH84" s="1">
        <v>4.2699999999999996</v>
      </c>
      <c r="II84" s="1">
        <v>4.4800000000000004</v>
      </c>
      <c r="IJ84" s="1">
        <v>4.95</v>
      </c>
      <c r="IK84" s="1">
        <v>4.9800000000000004</v>
      </c>
      <c r="IL84" s="1">
        <v>4.5999999999999996</v>
      </c>
      <c r="IM84" s="1">
        <v>4.22</v>
      </c>
      <c r="IN84" s="1">
        <v>4.49</v>
      </c>
      <c r="IO84" s="1">
        <v>3.38</v>
      </c>
      <c r="IP84" s="1">
        <v>2.2799999999999998</v>
      </c>
      <c r="IQ84" s="1">
        <v>3.66</v>
      </c>
      <c r="IR84" s="1">
        <v>4.4400000000000004</v>
      </c>
      <c r="IS84" s="1">
        <v>3.93</v>
      </c>
      <c r="IT84" s="1">
        <v>4.3899999999999997</v>
      </c>
      <c r="IU84" s="1">
        <v>4.76</v>
      </c>
      <c r="IV84" s="1">
        <v>5.14</v>
      </c>
      <c r="IW84" s="1">
        <v>5.46</v>
      </c>
      <c r="IX84" s="1">
        <v>4.71</v>
      </c>
      <c r="IY84" s="1">
        <v>3.02</v>
      </c>
      <c r="IZ84" s="1">
        <v>2.2799999999999998</v>
      </c>
      <c r="JA84" s="1">
        <v>1.85</v>
      </c>
      <c r="JB84" s="1">
        <v>1.41</v>
      </c>
      <c r="JC84" s="1">
        <v>2.0499999999999998</v>
      </c>
      <c r="JD84" s="1">
        <v>2.56</v>
      </c>
      <c r="JE84" s="1">
        <v>2.82</v>
      </c>
      <c r="JF84" s="1">
        <v>3.04</v>
      </c>
      <c r="JG84" s="1">
        <v>3.36</v>
      </c>
      <c r="JH84" s="1">
        <v>3.51</v>
      </c>
      <c r="JI84" s="1">
        <v>4</v>
      </c>
      <c r="JJ84" s="1">
        <v>3.94</v>
      </c>
      <c r="JK84" s="1">
        <v>2.58</v>
      </c>
      <c r="JL84" s="1">
        <v>1.4</v>
      </c>
      <c r="JM84" s="1">
        <v>1.4</v>
      </c>
      <c r="JN84" s="1">
        <v>1.94</v>
      </c>
      <c r="JO84" s="1">
        <v>2.35</v>
      </c>
      <c r="JP84" s="1">
        <v>2.5299999999999998</v>
      </c>
      <c r="JQ84" s="1">
        <v>2.27</v>
      </c>
      <c r="JR84" s="1">
        <v>2.66</v>
      </c>
      <c r="JS84" s="1">
        <v>3.06</v>
      </c>
      <c r="JT84" s="1">
        <v>3.43</v>
      </c>
      <c r="JU84" s="1">
        <v>3.68</v>
      </c>
      <c r="JV84" s="1">
        <v>3.88</v>
      </c>
      <c r="JW84" s="1">
        <v>4</v>
      </c>
      <c r="JX84" s="1">
        <v>3.14</v>
      </c>
      <c r="JY84" s="1">
        <v>2.35</v>
      </c>
      <c r="JZ84" s="1">
        <v>1.66</v>
      </c>
      <c r="KA84" s="1">
        <v>1.66</v>
      </c>
      <c r="KB84" s="1">
        <v>1.78</v>
      </c>
      <c r="KC84" s="1">
        <v>2.2000000000000002</v>
      </c>
      <c r="KD84" s="1">
        <v>2.74</v>
      </c>
      <c r="KE84" s="1"/>
      <c r="KF84" s="1"/>
      <c r="KG84" s="1">
        <v>3.25</v>
      </c>
      <c r="KH84" s="1">
        <v>3.1</v>
      </c>
      <c r="KI84" s="1">
        <v>1.1000000000000001</v>
      </c>
      <c r="KJ84" s="1">
        <v>0.83</v>
      </c>
      <c r="KK84" s="1">
        <v>0.88</v>
      </c>
      <c r="KL84" s="1">
        <v>0.1</v>
      </c>
      <c r="KM84" s="1">
        <v>1.23</v>
      </c>
      <c r="KN84" s="1">
        <v>1.27</v>
      </c>
      <c r="KO84" s="1">
        <v>1.75</v>
      </c>
      <c r="KP84" s="1">
        <v>1.9</v>
      </c>
      <c r="KQ84" s="1">
        <v>2.5299999999999998</v>
      </c>
      <c r="KR84" s="1">
        <v>3.36</v>
      </c>
      <c r="KS84" s="1">
        <v>3.7</v>
      </c>
      <c r="KT84" s="1">
        <v>3.75</v>
      </c>
      <c r="KU84" s="1">
        <v>2.79</v>
      </c>
      <c r="KV84" s="1">
        <v>1.1000000000000001</v>
      </c>
      <c r="KW84" s="1">
        <v>0.98</v>
      </c>
      <c r="KX84" s="1">
        <v>0.98</v>
      </c>
      <c r="KY84" s="1">
        <v>1.35</v>
      </c>
      <c r="KZ84" s="1">
        <v>1.76</v>
      </c>
      <c r="LA84" s="1">
        <v>1.96</v>
      </c>
      <c r="LB84" s="1">
        <v>2.04</v>
      </c>
      <c r="LC84" s="1">
        <v>2.2400000000000002</v>
      </c>
      <c r="LD84" s="1">
        <v>2.31</v>
      </c>
      <c r="LE84" s="1">
        <v>2.58</v>
      </c>
      <c r="LF84" s="1">
        <v>2.85</v>
      </c>
      <c r="LG84" s="1">
        <v>0.96000000000000008</v>
      </c>
      <c r="LH84" s="1">
        <v>1.54</v>
      </c>
      <c r="LI84" s="1">
        <v>2.1</v>
      </c>
      <c r="LJ84" s="1">
        <v>1.7000000000000002</v>
      </c>
      <c r="LK84" s="1">
        <v>2.17</v>
      </c>
      <c r="LL84" s="1">
        <v>2.7</v>
      </c>
      <c r="LM84" s="1">
        <v>2.88</v>
      </c>
      <c r="LN84" s="1">
        <v>3.0500000000000003</v>
      </c>
      <c r="LO84" s="1">
        <v>3.3000000000000003</v>
      </c>
      <c r="LP84" s="1">
        <v>3.5300000000000002</v>
      </c>
      <c r="LQ84" s="1">
        <v>3.5500000000000003</v>
      </c>
      <c r="LR84" s="1">
        <v>4.16</v>
      </c>
      <c r="LS84" s="1">
        <v>3.64</v>
      </c>
      <c r="LT84" s="1">
        <v>2.19</v>
      </c>
      <c r="LU84" s="1">
        <v>2.1800000000000002</v>
      </c>
      <c r="LV84" s="1">
        <v>2.29</v>
      </c>
      <c r="LW84" s="1">
        <v>3</v>
      </c>
      <c r="LX84" s="1">
        <v>2.7100000000000004</v>
      </c>
      <c r="LY84" s="1">
        <v>2.54</v>
      </c>
      <c r="LZ84" s="1">
        <v>3</v>
      </c>
      <c r="MA84" s="1">
        <v>3.4</v>
      </c>
      <c r="MB84" s="1">
        <v>3.93</v>
      </c>
      <c r="MC84" s="1">
        <v>4.1999999999999993</v>
      </c>
      <c r="MD84" s="1">
        <v>3.94</v>
      </c>
      <c r="ME84" s="1">
        <v>1.9</v>
      </c>
      <c r="MF84" s="1">
        <v>0.68</v>
      </c>
      <c r="MG84" s="1">
        <v>1.5599999999999998</v>
      </c>
      <c r="MH84" s="1">
        <v>1.5</v>
      </c>
      <c r="MI84" s="1">
        <v>2.1</v>
      </c>
      <c r="MJ84" s="1">
        <v>2.6</v>
      </c>
      <c r="MK84" s="1">
        <v>3</v>
      </c>
      <c r="ML84" s="1">
        <v>3.5</v>
      </c>
      <c r="MM84" s="1">
        <v>3.6999999999999997</v>
      </c>
      <c r="MN84" s="1">
        <v>4.3</v>
      </c>
      <c r="MO84" s="1">
        <v>4.9099999999999993</v>
      </c>
      <c r="MP84" s="1">
        <v>4.1999999999999993</v>
      </c>
      <c r="MQ84" s="1">
        <v>4</v>
      </c>
      <c r="MR84" s="1">
        <v>1.6</v>
      </c>
      <c r="MS84" s="1">
        <v>1.7000000000000002</v>
      </c>
      <c r="MT84">
        <v>1.89</v>
      </c>
      <c r="MU84">
        <v>1.54</v>
      </c>
    </row>
    <row r="85" spans="1:359" ht="15.75" x14ac:dyDescent="0.25">
      <c r="A85" s="8" t="s">
        <v>0</v>
      </c>
      <c r="B85" s="39">
        <v>20566</v>
      </c>
      <c r="C85" s="39" t="s">
        <v>116</v>
      </c>
      <c r="D85" s="39" t="s">
        <v>148</v>
      </c>
      <c r="E85" s="39" t="s">
        <v>148</v>
      </c>
      <c r="F85" s="39" t="s">
        <v>30</v>
      </c>
      <c r="G85" s="39" t="s">
        <v>209</v>
      </c>
      <c r="H85" s="41">
        <v>21.33</v>
      </c>
      <c r="I85" s="39" t="s">
        <v>119</v>
      </c>
      <c r="J85" s="40">
        <v>48.563733333333339</v>
      </c>
      <c r="K85" s="39">
        <v>16.820122000000001</v>
      </c>
      <c r="L85" s="39">
        <v>80.399857100000006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6.05</v>
      </c>
      <c r="Z85" s="1">
        <v>6.19</v>
      </c>
      <c r="AA85" s="1">
        <v>6.65</v>
      </c>
      <c r="AB85" s="1">
        <v>7</v>
      </c>
      <c r="AC85" s="1">
        <v>7.21</v>
      </c>
      <c r="AD85" s="1">
        <v>7.11</v>
      </c>
      <c r="AE85" s="1">
        <v>6.93</v>
      </c>
      <c r="AF85" s="1">
        <v>4.83</v>
      </c>
      <c r="AG85" s="1">
        <v>2.95</v>
      </c>
      <c r="AH85" s="1">
        <v>2</v>
      </c>
      <c r="AI85" s="1">
        <v>0.37</v>
      </c>
      <c r="AJ85" s="1">
        <v>1.86</v>
      </c>
      <c r="AK85" s="1">
        <v>1.9</v>
      </c>
      <c r="AL85" s="1">
        <v>2</v>
      </c>
      <c r="AM85" s="1">
        <v>2.2000000000000002</v>
      </c>
      <c r="AN85" s="1">
        <v>2.9</v>
      </c>
      <c r="AO85" s="1">
        <v>3.8</v>
      </c>
      <c r="AP85" s="1">
        <v>3</v>
      </c>
      <c r="AQ85" s="1">
        <v>2.2000000000000002</v>
      </c>
      <c r="AR85" s="1">
        <v>1.1000000000000001</v>
      </c>
      <c r="AS85" s="1">
        <v>1.1399999999999999</v>
      </c>
      <c r="AT85" s="1">
        <v>1.2</v>
      </c>
      <c r="AU85" s="1">
        <v>1.24</v>
      </c>
      <c r="AV85" s="1">
        <v>2</v>
      </c>
      <c r="AW85" s="1">
        <v>2.29</v>
      </c>
      <c r="AX85" s="1">
        <v>3</v>
      </c>
      <c r="AY85" s="1">
        <v>3.69</v>
      </c>
      <c r="AZ85" s="1">
        <v>4</v>
      </c>
      <c r="BA85" s="1">
        <v>4.6399999999999997</v>
      </c>
      <c r="BB85" s="1">
        <v>4.3899999999999997</v>
      </c>
      <c r="BC85" s="1">
        <v>3.34</v>
      </c>
      <c r="BD85" s="1">
        <v>0.5</v>
      </c>
      <c r="BE85" s="1">
        <v>1.36</v>
      </c>
      <c r="BF85" s="1">
        <v>1.87</v>
      </c>
      <c r="BG85" s="1">
        <v>2.5</v>
      </c>
      <c r="BH85" s="1">
        <v>3.08</v>
      </c>
      <c r="BI85" s="1">
        <v>3.25</v>
      </c>
      <c r="BJ85" s="1">
        <v>3.75</v>
      </c>
      <c r="BK85" s="1">
        <v>4.25</v>
      </c>
      <c r="BL85" s="1">
        <v>4.6900000000000004</v>
      </c>
      <c r="BM85" s="1">
        <v>5.24</v>
      </c>
      <c r="BN85" s="1">
        <v>5.54</v>
      </c>
      <c r="BO85" s="1">
        <v>5.79</v>
      </c>
      <c r="BP85" s="1">
        <v>5.28</v>
      </c>
      <c r="BQ85" s="1">
        <v>5.44</v>
      </c>
      <c r="BR85" s="1">
        <v>4.03</v>
      </c>
      <c r="BS85" s="1">
        <v>4.58</v>
      </c>
      <c r="BT85" s="1">
        <v>5.42</v>
      </c>
      <c r="BU85" s="1">
        <v>5.53</v>
      </c>
      <c r="BV85" s="1">
        <v>6</v>
      </c>
      <c r="BW85" s="1">
        <v>6.04</v>
      </c>
      <c r="BX85" s="1">
        <v>6.66</v>
      </c>
      <c r="BY85" s="1">
        <v>7.25</v>
      </c>
      <c r="BZ85" s="1">
        <v>7.54</v>
      </c>
      <c r="CA85" s="1">
        <v>7.57</v>
      </c>
      <c r="CB85" s="1">
        <v>7.05</v>
      </c>
      <c r="CC85" s="1">
        <v>6.45</v>
      </c>
      <c r="CD85" s="1">
        <v>6.37</v>
      </c>
      <c r="CE85" s="1">
        <v>6.54</v>
      </c>
      <c r="CF85" s="1">
        <v>6.9</v>
      </c>
      <c r="CG85" s="1">
        <v>7.3</v>
      </c>
      <c r="CH85" s="1">
        <v>7.7</v>
      </c>
      <c r="CI85" s="1">
        <v>7.78</v>
      </c>
      <c r="CJ85" s="1">
        <v>8.27</v>
      </c>
      <c r="CK85" s="1">
        <v>8.9600000000000009</v>
      </c>
      <c r="CL85" s="1">
        <v>9.01</v>
      </c>
      <c r="CM85" s="1">
        <v>8.2100000000000009</v>
      </c>
      <c r="CN85" s="1">
        <v>6.83</v>
      </c>
      <c r="CO85" s="1">
        <v>6.42</v>
      </c>
      <c r="CP85" s="1">
        <v>5.69</v>
      </c>
      <c r="CQ85" s="1">
        <v>5.8</v>
      </c>
      <c r="CR85" s="1">
        <v>5.77</v>
      </c>
      <c r="CS85" s="1">
        <v>6</v>
      </c>
      <c r="CT85" s="1">
        <v>6.02</v>
      </c>
      <c r="CU85" s="1">
        <v>6.36</v>
      </c>
      <c r="CV85" s="1">
        <v>7.02</v>
      </c>
      <c r="CW85" s="1">
        <v>7.4</v>
      </c>
      <c r="CX85" s="1">
        <v>7.43</v>
      </c>
      <c r="CY85" s="1">
        <v>7.05</v>
      </c>
      <c r="CZ85" s="1">
        <v>4.82</v>
      </c>
      <c r="DA85" s="1">
        <v>4.78</v>
      </c>
      <c r="DB85" s="1">
        <v>3.61</v>
      </c>
      <c r="DC85" s="1">
        <v>4.1399999999999997</v>
      </c>
      <c r="DD85" s="1">
        <v>4.51</v>
      </c>
      <c r="DE85" s="1">
        <v>5.13</v>
      </c>
      <c r="DF85" s="1">
        <v>5.57</v>
      </c>
      <c r="DG85" s="1">
        <v>5.98</v>
      </c>
      <c r="DH85" s="1">
        <v>6.87</v>
      </c>
      <c r="DI85" s="1">
        <v>7.29</v>
      </c>
      <c r="DJ85" s="1">
        <v>7</v>
      </c>
      <c r="DK85" s="1">
        <v>6.69</v>
      </c>
      <c r="DL85" s="1">
        <v>5.95</v>
      </c>
      <c r="DM85" s="1">
        <v>2.48</v>
      </c>
      <c r="DN85" s="1">
        <v>1.71</v>
      </c>
      <c r="DO85" s="1">
        <v>1.43</v>
      </c>
      <c r="DP85" s="1">
        <v>1.88</v>
      </c>
      <c r="DQ85" s="1">
        <v>2.5299999999999998</v>
      </c>
      <c r="DR85" s="1">
        <v>3.12</v>
      </c>
      <c r="DS85" s="1">
        <v>3.49</v>
      </c>
      <c r="DT85" s="1">
        <v>3.99</v>
      </c>
      <c r="DU85" s="1">
        <v>4.34</v>
      </c>
      <c r="DV85" s="1">
        <v>4.76</v>
      </c>
      <c r="DW85" s="1">
        <v>5.14</v>
      </c>
      <c r="DX85" s="1">
        <v>4.84</v>
      </c>
      <c r="DY85" s="1">
        <v>4</v>
      </c>
      <c r="DZ85" s="1">
        <v>3.62</v>
      </c>
      <c r="EA85" s="1">
        <v>3.45</v>
      </c>
      <c r="EB85" s="1">
        <v>4</v>
      </c>
      <c r="EC85" s="1">
        <v>4.45</v>
      </c>
      <c r="ED85" s="1">
        <v>4.87</v>
      </c>
      <c r="EE85" s="1">
        <v>5</v>
      </c>
      <c r="EF85" s="1">
        <v>5.8</v>
      </c>
      <c r="EG85" s="1">
        <v>6.01</v>
      </c>
      <c r="EH85" s="1">
        <v>6.28</v>
      </c>
      <c r="EI85" s="1">
        <v>5.66</v>
      </c>
      <c r="EJ85" s="1">
        <v>5.55</v>
      </c>
      <c r="EK85" s="1">
        <v>5.0599999999999996</v>
      </c>
      <c r="EL85" s="1">
        <v>2.5499999999999998</v>
      </c>
      <c r="EM85" s="1">
        <v>2.92</v>
      </c>
      <c r="EN85" s="1">
        <v>3.5</v>
      </c>
      <c r="EO85" s="1">
        <v>4.17</v>
      </c>
      <c r="EP85" s="1">
        <v>4.51</v>
      </c>
      <c r="EQ85" s="1">
        <v>5.09</v>
      </c>
      <c r="ER85" s="1">
        <v>5.47</v>
      </c>
      <c r="ES85" s="1">
        <v>5.95</v>
      </c>
      <c r="ET85" s="1">
        <v>6.38</v>
      </c>
      <c r="EU85" s="1">
        <v>5.57</v>
      </c>
      <c r="EV85" s="1">
        <v>1.1499999999999999</v>
      </c>
      <c r="EW85" s="1">
        <v>0.84</v>
      </c>
      <c r="EX85" s="1">
        <v>1.59</v>
      </c>
      <c r="EY85" s="1">
        <v>2.08</v>
      </c>
      <c r="EZ85" s="1">
        <v>2.57</v>
      </c>
      <c r="FA85" s="1">
        <v>3.05</v>
      </c>
      <c r="FB85" s="1">
        <v>3.8</v>
      </c>
      <c r="FC85" s="1">
        <v>4.1500000000000004</v>
      </c>
      <c r="FD85" s="1">
        <v>4.62</v>
      </c>
      <c r="FE85" s="1">
        <v>5.17</v>
      </c>
      <c r="FF85" s="1">
        <v>6.01</v>
      </c>
      <c r="FG85" s="1">
        <v>6.51</v>
      </c>
      <c r="FH85" s="1">
        <v>6.89</v>
      </c>
      <c r="FI85" s="1">
        <v>7.06</v>
      </c>
      <c r="FJ85" s="1">
        <v>6.45</v>
      </c>
      <c r="FK85" s="1">
        <v>6.64</v>
      </c>
      <c r="FL85" s="1">
        <v>6.67</v>
      </c>
      <c r="FM85" s="1">
        <v>7.02</v>
      </c>
      <c r="FN85" s="1">
        <v>7.25</v>
      </c>
      <c r="FO85" s="1">
        <v>7.57</v>
      </c>
      <c r="FP85" s="1">
        <v>8.1</v>
      </c>
      <c r="FQ85" s="1">
        <v>7.7</v>
      </c>
      <c r="FR85" s="1">
        <v>6.7</v>
      </c>
      <c r="FS85" s="1">
        <v>4.3600000000000003</v>
      </c>
      <c r="FT85" s="1">
        <v>2.66</v>
      </c>
      <c r="FU85" s="1">
        <v>0.67</v>
      </c>
      <c r="FV85" s="1">
        <v>0.57999999999999996</v>
      </c>
      <c r="FW85" s="1">
        <v>1.08</v>
      </c>
      <c r="FX85" s="1">
        <v>0.95</v>
      </c>
      <c r="FY85" s="1">
        <v>1.44</v>
      </c>
      <c r="FZ85" s="1">
        <v>1.6</v>
      </c>
      <c r="GA85" s="1">
        <v>2.13</v>
      </c>
      <c r="GB85" s="1">
        <v>2.5499999999999998</v>
      </c>
      <c r="GC85" s="1">
        <v>3</v>
      </c>
      <c r="GD85" s="1">
        <v>3.3</v>
      </c>
      <c r="GE85" s="1">
        <v>2.7</v>
      </c>
      <c r="GF85" s="1">
        <v>2.0299999999999998</v>
      </c>
      <c r="GG85" s="1">
        <v>1.77</v>
      </c>
      <c r="GH85" s="1">
        <v>2.35</v>
      </c>
      <c r="GI85" s="1">
        <v>2.88</v>
      </c>
      <c r="GJ85" s="1">
        <v>3</v>
      </c>
      <c r="GK85" s="1">
        <v>2</v>
      </c>
      <c r="GL85" s="1">
        <v>3.42</v>
      </c>
      <c r="GM85" s="1">
        <v>3.98</v>
      </c>
      <c r="GN85" s="1">
        <v>4.4400000000000004</v>
      </c>
      <c r="GO85" s="1">
        <v>4.8</v>
      </c>
      <c r="GP85" s="1">
        <v>5.65</v>
      </c>
      <c r="GQ85" s="1">
        <v>3.98</v>
      </c>
      <c r="GR85" s="1">
        <v>2.1</v>
      </c>
      <c r="GS85" s="1">
        <v>1.54</v>
      </c>
      <c r="GT85" s="1">
        <v>1.35</v>
      </c>
      <c r="GU85" s="1">
        <v>0.75</v>
      </c>
      <c r="GV85" s="1">
        <v>1.32</v>
      </c>
      <c r="GW85" s="1">
        <v>1.62</v>
      </c>
      <c r="GX85" s="1">
        <v>1.83</v>
      </c>
      <c r="GY85" s="1">
        <v>2.34</v>
      </c>
      <c r="GZ85" s="1">
        <v>3.1</v>
      </c>
      <c r="HA85" s="1">
        <v>3.65</v>
      </c>
      <c r="HB85" s="1">
        <v>3.45</v>
      </c>
      <c r="HC85" s="1">
        <v>2.2999999999999998</v>
      </c>
      <c r="HD85" s="1">
        <v>2.29</v>
      </c>
      <c r="HE85" s="1">
        <v>1.37</v>
      </c>
      <c r="HF85" s="1">
        <v>0.11</v>
      </c>
      <c r="HG85" s="1">
        <v>0.72</v>
      </c>
      <c r="HH85" s="1">
        <v>0.9</v>
      </c>
      <c r="HI85" s="1">
        <v>1.18</v>
      </c>
      <c r="HJ85" s="1">
        <v>1.1299999999999999</v>
      </c>
      <c r="HK85" s="1">
        <v>1.23</v>
      </c>
      <c r="HL85" s="1">
        <v>2.5499999999999998</v>
      </c>
      <c r="HM85" s="1">
        <v>3.01</v>
      </c>
      <c r="HN85" s="1">
        <v>3.43</v>
      </c>
      <c r="HO85" s="1">
        <v>3.6</v>
      </c>
      <c r="HP85" s="1">
        <v>3.4</v>
      </c>
      <c r="HQ85" s="1">
        <v>1.45</v>
      </c>
      <c r="HR85" s="1">
        <v>1.92</v>
      </c>
      <c r="HS85" s="1">
        <v>1.83</v>
      </c>
      <c r="HT85" s="1">
        <v>2.2000000000000002</v>
      </c>
      <c r="HU85" s="1">
        <v>2.65</v>
      </c>
      <c r="HV85" s="1">
        <v>2.83</v>
      </c>
      <c r="HW85" s="1">
        <v>3.67</v>
      </c>
      <c r="HX85" s="1">
        <v>4.03</v>
      </c>
      <c r="HY85" s="1">
        <v>4.5</v>
      </c>
      <c r="HZ85" s="1">
        <v>1.9</v>
      </c>
      <c r="IA85" s="1">
        <v>2.2999999999999998</v>
      </c>
      <c r="IB85" s="1">
        <v>1.75</v>
      </c>
      <c r="IC85" s="1">
        <v>1.38</v>
      </c>
      <c r="ID85" s="1">
        <v>1.79</v>
      </c>
      <c r="IE85" s="1">
        <v>2.25</v>
      </c>
      <c r="IF85" s="1">
        <v>2.44</v>
      </c>
      <c r="IG85" s="1">
        <v>2.87</v>
      </c>
      <c r="IH85" s="1">
        <v>3.38</v>
      </c>
      <c r="II85" s="1">
        <v>3.73</v>
      </c>
      <c r="IJ85" s="1">
        <v>4.7300000000000004</v>
      </c>
      <c r="IK85" s="1">
        <v>5.33</v>
      </c>
      <c r="IL85" s="1">
        <v>5.41</v>
      </c>
      <c r="IM85" s="1">
        <v>4.42</v>
      </c>
      <c r="IN85" s="1">
        <v>3.93</v>
      </c>
      <c r="IO85" s="1">
        <v>3.53</v>
      </c>
      <c r="IP85" s="1">
        <v>3.11</v>
      </c>
      <c r="IQ85" s="1">
        <v>3.28</v>
      </c>
      <c r="IR85" s="1">
        <v>3.67</v>
      </c>
      <c r="IS85" s="1">
        <v>3.85</v>
      </c>
      <c r="IT85" s="1">
        <v>4.2300000000000004</v>
      </c>
      <c r="IU85" s="1">
        <v>4.6500000000000004</v>
      </c>
      <c r="IV85" s="1">
        <v>5.3</v>
      </c>
      <c r="IW85" s="1">
        <v>6.13</v>
      </c>
      <c r="IX85" s="1">
        <v>6.03</v>
      </c>
      <c r="IY85" s="1">
        <v>4.1900000000000004</v>
      </c>
      <c r="IZ85" s="1">
        <v>3.07</v>
      </c>
      <c r="JA85" s="1">
        <v>1.81</v>
      </c>
      <c r="JB85" s="1">
        <v>1.01</v>
      </c>
      <c r="JC85" s="1">
        <v>2.0099999999999998</v>
      </c>
      <c r="JD85" s="1">
        <v>2.4700000000000002</v>
      </c>
      <c r="JE85" s="1">
        <v>2.79</v>
      </c>
      <c r="JF85" s="1">
        <v>3.03</v>
      </c>
      <c r="JG85" s="1">
        <v>3.53</v>
      </c>
      <c r="JH85" s="1">
        <v>3.7</v>
      </c>
      <c r="JI85" s="1">
        <v>4.3899999999999997</v>
      </c>
      <c r="JJ85" s="1">
        <v>4.5199999999999996</v>
      </c>
      <c r="JK85" s="1">
        <v>3.36</v>
      </c>
      <c r="JL85" s="1">
        <v>2.17</v>
      </c>
      <c r="JM85" s="1">
        <v>2.38</v>
      </c>
      <c r="JN85" s="1">
        <v>2.06</v>
      </c>
      <c r="JO85" s="1">
        <v>2.41</v>
      </c>
      <c r="JP85" s="1">
        <v>2.37</v>
      </c>
      <c r="JQ85" s="1">
        <v>2.8</v>
      </c>
      <c r="JR85" s="1">
        <v>2.97</v>
      </c>
      <c r="JS85" s="1">
        <v>3.1</v>
      </c>
      <c r="JT85" s="1">
        <v>3.73</v>
      </c>
      <c r="JU85" s="1">
        <v>4.18</v>
      </c>
      <c r="JV85" s="1">
        <v>4.8</v>
      </c>
      <c r="JW85" s="1">
        <v>5.35</v>
      </c>
      <c r="JX85" s="1">
        <v>4.96</v>
      </c>
      <c r="JY85" s="1">
        <v>4.66</v>
      </c>
      <c r="JZ85" s="1">
        <v>3</v>
      </c>
      <c r="KA85" s="1">
        <v>3.2</v>
      </c>
      <c r="KB85" s="1">
        <v>3.5</v>
      </c>
      <c r="KC85" s="1">
        <v>3.82</v>
      </c>
      <c r="KD85" s="1">
        <v>4.13</v>
      </c>
      <c r="KE85" s="1"/>
      <c r="KF85" s="1"/>
      <c r="KG85" s="1">
        <v>5.21</v>
      </c>
      <c r="KH85" s="1">
        <v>4.9800000000000004</v>
      </c>
      <c r="KI85" s="1">
        <v>3.81</v>
      </c>
      <c r="KJ85" s="1">
        <v>2.16</v>
      </c>
      <c r="KK85" s="1">
        <v>1.86</v>
      </c>
      <c r="KL85" s="1">
        <v>0.17</v>
      </c>
      <c r="KM85" s="1">
        <v>1.01</v>
      </c>
      <c r="KN85" s="1">
        <v>0.96</v>
      </c>
      <c r="KO85" s="1">
        <v>2.29</v>
      </c>
      <c r="KP85" s="1">
        <v>1.68</v>
      </c>
      <c r="KQ85" s="1">
        <v>2.35</v>
      </c>
      <c r="KR85" s="1">
        <v>2.61</v>
      </c>
      <c r="KS85" s="1">
        <v>3.64</v>
      </c>
      <c r="KT85" s="1">
        <v>3.6</v>
      </c>
      <c r="KU85" s="1">
        <v>3.11</v>
      </c>
      <c r="KV85" s="1">
        <v>2.19</v>
      </c>
      <c r="KW85" s="1">
        <v>2</v>
      </c>
      <c r="KX85" s="1">
        <v>1.07</v>
      </c>
      <c r="KY85" s="1">
        <v>1.39</v>
      </c>
      <c r="KZ85" s="1">
        <v>1.88</v>
      </c>
      <c r="LA85" s="1">
        <v>2.02</v>
      </c>
      <c r="LB85" s="1">
        <v>2.2799999999999998</v>
      </c>
      <c r="LC85" s="1">
        <v>2.88</v>
      </c>
      <c r="LD85" s="1">
        <v>3.11</v>
      </c>
      <c r="LE85" s="1">
        <v>3.57</v>
      </c>
      <c r="LF85" s="1">
        <v>4.3099999999999996</v>
      </c>
      <c r="LG85" s="1">
        <v>2.27</v>
      </c>
      <c r="LH85" s="1">
        <v>1.7599999999999998</v>
      </c>
      <c r="LI85" s="1">
        <v>1.08</v>
      </c>
      <c r="LJ85" s="1">
        <v>0.40999999999999992</v>
      </c>
      <c r="LK85" s="1">
        <v>0.83</v>
      </c>
      <c r="LL85" s="1">
        <v>1.21</v>
      </c>
      <c r="LM85" s="1">
        <v>1.56</v>
      </c>
      <c r="LN85" s="1">
        <v>1.9899999999999998</v>
      </c>
      <c r="LO85" s="1">
        <v>2.38</v>
      </c>
      <c r="LP85" s="1">
        <v>2.76</v>
      </c>
      <c r="LQ85" s="1">
        <v>2.56</v>
      </c>
      <c r="LR85" s="1">
        <v>3.87</v>
      </c>
      <c r="LS85" s="1">
        <v>2.91</v>
      </c>
      <c r="LT85" s="1">
        <v>3.6799999999999997</v>
      </c>
      <c r="LU85" s="1">
        <v>1.3599999999999999</v>
      </c>
      <c r="LV85" s="1">
        <v>1.46</v>
      </c>
      <c r="LW85" s="1">
        <v>2.25</v>
      </c>
      <c r="LX85" s="1">
        <v>1.9500000000000002</v>
      </c>
      <c r="LY85" s="1">
        <v>1.9300000000000002</v>
      </c>
      <c r="LZ85" s="1">
        <v>2.38</v>
      </c>
      <c r="MA85" s="1">
        <v>3</v>
      </c>
      <c r="MB85" s="1">
        <v>3.55</v>
      </c>
      <c r="MC85" s="1">
        <v>4.04</v>
      </c>
      <c r="MD85" s="1">
        <v>4.5</v>
      </c>
      <c r="ME85" s="1">
        <v>3.76</v>
      </c>
      <c r="MF85" s="1">
        <v>3.05</v>
      </c>
      <c r="MG85" s="1">
        <v>0.77</v>
      </c>
      <c r="MH85" s="1">
        <v>0.26</v>
      </c>
      <c r="MI85" s="1">
        <v>0.85999999999999988</v>
      </c>
      <c r="MJ85" s="1">
        <v>1.2599999999999998</v>
      </c>
      <c r="MK85" s="1">
        <v>1.7599999999999998</v>
      </c>
      <c r="ML85" s="1">
        <v>2.16</v>
      </c>
      <c r="MM85" s="1">
        <v>2.5599999999999996</v>
      </c>
      <c r="MN85" s="1">
        <v>3.16</v>
      </c>
      <c r="MO85" s="1">
        <v>3.5999999999999996</v>
      </c>
      <c r="MP85" s="1">
        <v>1.56</v>
      </c>
      <c r="MQ85" s="1">
        <v>1.2</v>
      </c>
      <c r="MR85" s="1">
        <v>0.66000000000000014</v>
      </c>
      <c r="MS85" s="1">
        <v>0.85999999999999988</v>
      </c>
      <c r="MT85">
        <v>0.83</v>
      </c>
      <c r="MU85">
        <v>0.86999999999999988</v>
      </c>
    </row>
    <row r="86" spans="1:359" ht="15.75" x14ac:dyDescent="0.25">
      <c r="A86" s="8" t="s">
        <v>0</v>
      </c>
      <c r="B86" s="39">
        <v>20493</v>
      </c>
      <c r="C86" s="39" t="s">
        <v>116</v>
      </c>
      <c r="D86" s="39" t="s">
        <v>121</v>
      </c>
      <c r="E86" s="39" t="s">
        <v>149</v>
      </c>
      <c r="F86" s="39" t="s">
        <v>28</v>
      </c>
      <c r="G86" s="39" t="s">
        <v>209</v>
      </c>
      <c r="H86" s="41">
        <v>23</v>
      </c>
      <c r="I86" s="39" t="s">
        <v>2</v>
      </c>
      <c r="J86" s="40">
        <v>29.055349999999997</v>
      </c>
      <c r="K86" s="39">
        <v>16.658200000000001</v>
      </c>
      <c r="L86" s="39">
        <v>80.617400000000004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>
        <v>3.3</v>
      </c>
      <c r="CS86" s="1">
        <v>3.3</v>
      </c>
      <c r="CT86" s="1">
        <v>4.3099999999999996</v>
      </c>
      <c r="CU86" s="1">
        <v>4.8499999999999996</v>
      </c>
      <c r="CV86" s="1">
        <v>6.75</v>
      </c>
      <c r="CW86" s="1">
        <v>7.48</v>
      </c>
      <c r="CX86" s="1">
        <v>6.9</v>
      </c>
      <c r="CY86" s="1">
        <v>7.33</v>
      </c>
      <c r="CZ86" s="1">
        <v>5.8</v>
      </c>
      <c r="DA86" s="1">
        <v>6.32</v>
      </c>
      <c r="DB86" s="1">
        <v>3.9</v>
      </c>
      <c r="DC86" s="1">
        <v>8.18</v>
      </c>
      <c r="DD86" s="1">
        <v>7.55</v>
      </c>
      <c r="DE86" s="1">
        <v>7.34</v>
      </c>
      <c r="DF86" s="1">
        <v>8.8000000000000007</v>
      </c>
      <c r="DG86" s="1">
        <v>9.42</v>
      </c>
      <c r="DH86" s="1">
        <v>10.119999999999999</v>
      </c>
      <c r="DI86" s="1">
        <v>9.32</v>
      </c>
      <c r="DJ86" s="1">
        <v>9.94</v>
      </c>
      <c r="DK86" s="1">
        <v>7.32</v>
      </c>
      <c r="DL86" s="1">
        <v>5.43</v>
      </c>
      <c r="DM86" s="1">
        <v>0.94</v>
      </c>
      <c r="DN86" s="1">
        <v>1.1499999999999999</v>
      </c>
      <c r="DO86" s="1">
        <v>2.2000000000000002</v>
      </c>
      <c r="DP86" s="1">
        <v>3.3</v>
      </c>
      <c r="DQ86" s="1">
        <v>3.2</v>
      </c>
      <c r="DR86" s="1">
        <v>5.32</v>
      </c>
      <c r="DS86" s="1">
        <v>6.03</v>
      </c>
      <c r="DT86" s="1">
        <v>6.11</v>
      </c>
      <c r="DU86" s="1">
        <v>4.91</v>
      </c>
      <c r="DV86" s="1">
        <v>4.72</v>
      </c>
      <c r="DW86" s="1">
        <v>5.37</v>
      </c>
      <c r="DX86" s="1">
        <v>5.9</v>
      </c>
      <c r="DY86" s="1">
        <v>2.89</v>
      </c>
      <c r="DZ86" s="1">
        <v>3.08</v>
      </c>
      <c r="EA86" s="1">
        <v>2.58</v>
      </c>
      <c r="EB86" s="1">
        <v>2.58</v>
      </c>
      <c r="EC86" s="1">
        <v>3.08</v>
      </c>
      <c r="ED86" s="1">
        <v>3.06</v>
      </c>
      <c r="EE86" s="1">
        <v>4.42</v>
      </c>
      <c r="EF86" s="1">
        <v>5.14</v>
      </c>
      <c r="EG86" s="1">
        <v>6.09</v>
      </c>
      <c r="EH86" s="1">
        <v>5.25</v>
      </c>
      <c r="EI86" s="1">
        <v>4.5</v>
      </c>
      <c r="EJ86" s="1">
        <v>5.2</v>
      </c>
      <c r="EK86" s="1">
        <v>4.07</v>
      </c>
      <c r="EL86" s="1">
        <v>2.4900000000000002</v>
      </c>
      <c r="EM86" s="1">
        <v>2.66</v>
      </c>
      <c r="EN86" s="1">
        <v>3.17</v>
      </c>
      <c r="EO86" s="1">
        <v>4.8</v>
      </c>
      <c r="EP86" s="1">
        <v>3.78</v>
      </c>
      <c r="EQ86" s="1">
        <v>4.07</v>
      </c>
      <c r="ER86" s="1">
        <v>3.11</v>
      </c>
      <c r="ES86" s="1">
        <v>3.59</v>
      </c>
      <c r="ET86" s="1">
        <v>3.57</v>
      </c>
      <c r="EU86" s="1">
        <v>2.83</v>
      </c>
      <c r="EV86" s="1">
        <v>1.83</v>
      </c>
      <c r="EW86" s="1">
        <v>1.24</v>
      </c>
      <c r="EX86" s="1">
        <v>1.52</v>
      </c>
      <c r="EY86" s="1">
        <v>1.85</v>
      </c>
      <c r="EZ86" s="1">
        <v>2.0299999999999998</v>
      </c>
      <c r="FA86" s="1">
        <v>2.5</v>
      </c>
      <c r="FB86" s="1">
        <v>3.4</v>
      </c>
      <c r="FC86" s="1">
        <v>4.16</v>
      </c>
      <c r="FD86" s="1">
        <v>4.9800000000000004</v>
      </c>
      <c r="FE86" s="1">
        <v>5.57</v>
      </c>
      <c r="FF86" s="1">
        <v>6.3</v>
      </c>
      <c r="FG86" s="1">
        <v>5.95</v>
      </c>
      <c r="FH86" s="1">
        <v>7.15</v>
      </c>
      <c r="FI86" s="1">
        <v>7.45</v>
      </c>
      <c r="FJ86" s="1">
        <v>3.56</v>
      </c>
      <c r="FK86" s="1">
        <v>2.8</v>
      </c>
      <c r="FL86" s="1">
        <v>2.21</v>
      </c>
      <c r="FM86" s="1">
        <v>2.5099999999999998</v>
      </c>
      <c r="FN86" s="1">
        <v>3.79</v>
      </c>
      <c r="FO86" s="1">
        <v>5</v>
      </c>
      <c r="FP86" s="1">
        <v>6.03</v>
      </c>
      <c r="FQ86" s="1">
        <v>3.82</v>
      </c>
      <c r="FR86" s="1">
        <v>3.3</v>
      </c>
      <c r="FS86" s="1">
        <v>1.76</v>
      </c>
      <c r="FT86" s="1">
        <v>1.0900000000000001</v>
      </c>
      <c r="FU86" s="1">
        <v>1.1399999999999999</v>
      </c>
      <c r="FV86" s="1">
        <v>1.1399999999999999</v>
      </c>
      <c r="FW86" s="1">
        <v>1.28</v>
      </c>
      <c r="FX86" s="1">
        <v>1.43</v>
      </c>
      <c r="FY86" s="1">
        <v>1.84</v>
      </c>
      <c r="FZ86" s="1">
        <v>1.92</v>
      </c>
      <c r="GA86" s="1">
        <v>2.14</v>
      </c>
      <c r="GB86" s="1">
        <v>1.7</v>
      </c>
      <c r="GC86" s="1">
        <v>2.84</v>
      </c>
      <c r="GD86" s="1">
        <v>2.27</v>
      </c>
      <c r="GE86" s="1">
        <v>1.4</v>
      </c>
      <c r="GF86" s="1">
        <v>1.22</v>
      </c>
      <c r="GG86" s="1">
        <v>1.56</v>
      </c>
      <c r="GH86" s="1">
        <v>2.81</v>
      </c>
      <c r="GI86" s="1">
        <v>4.01</v>
      </c>
      <c r="GJ86" s="1">
        <v>3.56</v>
      </c>
      <c r="GK86" s="1">
        <v>2.38</v>
      </c>
      <c r="GL86" s="1">
        <v>2.72</v>
      </c>
      <c r="GM86" s="1">
        <v>3.18</v>
      </c>
      <c r="GN86" s="1">
        <v>3.51</v>
      </c>
      <c r="GO86" s="1">
        <v>3.46</v>
      </c>
      <c r="GP86" s="1">
        <v>3.88</v>
      </c>
      <c r="GQ86" s="1">
        <v>1.88</v>
      </c>
      <c r="GR86" s="1">
        <v>1.76</v>
      </c>
      <c r="GS86" s="1">
        <v>0.95</v>
      </c>
      <c r="GT86" s="1">
        <v>1.48</v>
      </c>
      <c r="GU86" s="1">
        <v>1.38</v>
      </c>
      <c r="GV86" s="1">
        <v>1.83</v>
      </c>
      <c r="GW86" s="1">
        <v>2.21</v>
      </c>
      <c r="GX86" s="1">
        <v>1.54</v>
      </c>
      <c r="GY86" s="1">
        <v>2.0699999999999998</v>
      </c>
      <c r="GZ86" s="1">
        <v>3.08</v>
      </c>
      <c r="HA86" s="1">
        <v>3.84</v>
      </c>
      <c r="HB86" s="1">
        <v>3.74</v>
      </c>
      <c r="HC86" s="1">
        <v>2.97</v>
      </c>
      <c r="HD86" s="1">
        <v>1.44</v>
      </c>
      <c r="HE86" s="1">
        <v>1.35</v>
      </c>
      <c r="HF86" s="1">
        <v>0.64</v>
      </c>
      <c r="HG86" s="1">
        <v>0.86</v>
      </c>
      <c r="HH86" s="1">
        <v>1.89</v>
      </c>
      <c r="HI86" s="1">
        <v>2</v>
      </c>
      <c r="HJ86" s="1">
        <v>1.77</v>
      </c>
      <c r="HK86" s="1">
        <v>2.36</v>
      </c>
      <c r="HL86" s="1">
        <v>3.48</v>
      </c>
      <c r="HM86" s="1">
        <v>2.5</v>
      </c>
      <c r="HN86" s="1">
        <v>3.39</v>
      </c>
      <c r="HO86" s="1">
        <v>3.5</v>
      </c>
      <c r="HP86" s="1">
        <v>4.25</v>
      </c>
      <c r="HQ86" s="1">
        <v>3.23</v>
      </c>
      <c r="HR86" s="1">
        <v>1.65</v>
      </c>
      <c r="HS86" s="1">
        <v>1.53</v>
      </c>
      <c r="HT86" s="1">
        <v>1.9</v>
      </c>
      <c r="HU86" s="1">
        <v>2.21</v>
      </c>
      <c r="HV86" s="1">
        <v>2.08</v>
      </c>
      <c r="HW86" s="1">
        <v>3.51</v>
      </c>
      <c r="HX86" s="1">
        <v>3.72</v>
      </c>
      <c r="HY86" s="1">
        <v>3.65</v>
      </c>
      <c r="HZ86" s="1">
        <v>2.61</v>
      </c>
      <c r="IA86" s="1">
        <v>1.83</v>
      </c>
      <c r="IB86" s="1">
        <v>1.66</v>
      </c>
      <c r="IC86" s="1">
        <v>1.1100000000000001</v>
      </c>
      <c r="ID86" s="1">
        <v>1.18</v>
      </c>
      <c r="IE86" s="1">
        <v>1.1299999999999999</v>
      </c>
      <c r="IF86" s="1">
        <v>4.0599999999999996</v>
      </c>
      <c r="IG86" s="1">
        <v>4.7699999999999996</v>
      </c>
      <c r="IH86" s="1">
        <v>5.0999999999999996</v>
      </c>
      <c r="II86" s="1">
        <v>6.7</v>
      </c>
      <c r="IJ86" s="1">
        <v>6.66</v>
      </c>
      <c r="IK86" s="1">
        <v>6.26</v>
      </c>
      <c r="IL86" s="1">
        <v>5.52</v>
      </c>
      <c r="IM86" s="1">
        <v>4.08</v>
      </c>
      <c r="IN86" s="1">
        <v>4.32</v>
      </c>
      <c r="IO86" s="1">
        <v>3.06</v>
      </c>
      <c r="IP86" s="1">
        <v>2.09</v>
      </c>
      <c r="IQ86" s="1">
        <v>4.2</v>
      </c>
      <c r="IR86" s="1">
        <v>3.71</v>
      </c>
      <c r="IS86" s="1">
        <v>4.8899999999999997</v>
      </c>
      <c r="IT86" s="1">
        <v>5.84</v>
      </c>
      <c r="IU86" s="1">
        <v>6.91</v>
      </c>
      <c r="IV86" s="1">
        <v>7.44</v>
      </c>
      <c r="IW86" s="1">
        <v>6.65</v>
      </c>
      <c r="IX86" s="1">
        <v>6.1</v>
      </c>
      <c r="IY86" s="1">
        <v>4.43</v>
      </c>
      <c r="IZ86" s="1">
        <v>2.0499999999999998</v>
      </c>
      <c r="JA86" s="1">
        <v>1.41</v>
      </c>
      <c r="JB86" s="1">
        <v>1.51</v>
      </c>
      <c r="JC86" s="1">
        <v>2.2999999999999998</v>
      </c>
      <c r="JD86" s="1">
        <v>2.6</v>
      </c>
      <c r="JE86" s="1">
        <v>4.53</v>
      </c>
      <c r="JF86" s="1">
        <v>4.57</v>
      </c>
      <c r="JG86" s="1">
        <v>6.01</v>
      </c>
      <c r="JH86" s="1">
        <v>6.07</v>
      </c>
      <c r="JI86" s="1">
        <v>7.11</v>
      </c>
      <c r="JJ86" s="1">
        <v>6.01</v>
      </c>
      <c r="JK86" s="1">
        <v>3.98</v>
      </c>
      <c r="JL86" s="1">
        <v>1.71</v>
      </c>
      <c r="JM86" s="1">
        <v>2.48</v>
      </c>
      <c r="JN86" s="1">
        <v>2.63</v>
      </c>
      <c r="JO86" s="1">
        <v>3.26</v>
      </c>
      <c r="JP86" s="1">
        <v>1.8</v>
      </c>
      <c r="JQ86" s="1">
        <v>1.95</v>
      </c>
      <c r="JR86" s="1">
        <v>2.82</v>
      </c>
      <c r="JS86" s="1">
        <v>4.26</v>
      </c>
      <c r="JT86" s="1">
        <v>4.8099999999999996</v>
      </c>
      <c r="JU86" s="1">
        <v>5.66</v>
      </c>
      <c r="JV86" s="1">
        <v>5.9</v>
      </c>
      <c r="JW86" s="1">
        <v>4.96</v>
      </c>
      <c r="JX86" s="1">
        <v>4.18</v>
      </c>
      <c r="JY86" s="1">
        <v>2.23</v>
      </c>
      <c r="JZ86" s="1">
        <v>1.33</v>
      </c>
      <c r="KA86" s="1">
        <v>2.1</v>
      </c>
      <c r="KB86" s="1">
        <v>2.58</v>
      </c>
      <c r="KC86" s="1">
        <v>2.73</v>
      </c>
      <c r="KD86" s="1">
        <v>4.07</v>
      </c>
      <c r="KE86" s="1"/>
      <c r="KF86" s="1"/>
      <c r="KG86" s="1">
        <v>6.03</v>
      </c>
      <c r="KH86" s="1">
        <v>4.55</v>
      </c>
      <c r="KI86" s="1">
        <v>1.82</v>
      </c>
      <c r="KJ86" s="1">
        <v>1.25</v>
      </c>
      <c r="KK86" s="1">
        <v>1.46</v>
      </c>
      <c r="KL86" s="1">
        <v>1.49</v>
      </c>
      <c r="KM86" s="1">
        <v>1.81</v>
      </c>
      <c r="KN86" s="1">
        <v>1.93</v>
      </c>
      <c r="KO86" s="1">
        <v>1.92</v>
      </c>
      <c r="KP86" s="1">
        <v>2.0099999999999998</v>
      </c>
      <c r="KQ86" s="1">
        <v>4.03</v>
      </c>
      <c r="KR86" s="1">
        <v>4.88</v>
      </c>
      <c r="KS86" s="1">
        <v>5.08</v>
      </c>
      <c r="KT86" s="1">
        <v>4.78</v>
      </c>
      <c r="KU86" s="1">
        <v>1.31</v>
      </c>
      <c r="KV86" s="1">
        <v>1.33</v>
      </c>
      <c r="KW86" s="1">
        <v>1.52</v>
      </c>
      <c r="KX86" s="1">
        <v>1.5</v>
      </c>
      <c r="KY86" s="1">
        <v>1.1100000000000001</v>
      </c>
      <c r="KZ86" s="1">
        <v>2.1800000000000002</v>
      </c>
      <c r="LA86" s="1">
        <v>2</v>
      </c>
      <c r="LB86" s="1">
        <v>2.46</v>
      </c>
      <c r="LC86" s="1">
        <v>2.78</v>
      </c>
      <c r="LD86" s="1">
        <v>2.14</v>
      </c>
      <c r="LE86" s="1">
        <v>3.46</v>
      </c>
      <c r="LF86" s="1">
        <v>3.46</v>
      </c>
      <c r="LG86" s="1">
        <v>2.02</v>
      </c>
      <c r="LH86" s="1">
        <v>1.9299999999999997</v>
      </c>
      <c r="LI86" s="1">
        <v>1.65</v>
      </c>
      <c r="LJ86" s="1">
        <v>1.46</v>
      </c>
      <c r="LK86" s="1">
        <v>1.71</v>
      </c>
      <c r="LL86" s="1">
        <v>1.96</v>
      </c>
      <c r="LM86" s="1">
        <v>3.8600000000000003</v>
      </c>
      <c r="LN86" s="1">
        <v>3.45</v>
      </c>
      <c r="LO86" s="1">
        <v>3.8099999999999996</v>
      </c>
      <c r="LP86" s="1">
        <v>4.3099999999999996</v>
      </c>
      <c r="LQ86" s="1">
        <v>3.16</v>
      </c>
      <c r="LR86" s="1">
        <v>4.96</v>
      </c>
      <c r="LS86" s="1">
        <v>3.17</v>
      </c>
      <c r="LT86" s="1">
        <v>2.38</v>
      </c>
      <c r="LU86" s="1">
        <v>1.46</v>
      </c>
      <c r="LV86" s="1">
        <v>1.83</v>
      </c>
      <c r="LW86" s="1">
        <v>1.7000000000000002</v>
      </c>
      <c r="LX86" s="1">
        <v>1.67</v>
      </c>
      <c r="LY86" s="1">
        <v>2.31</v>
      </c>
      <c r="LZ86" s="1">
        <v>2.67</v>
      </c>
      <c r="MA86" s="1">
        <v>3.6399999999999997</v>
      </c>
      <c r="MB86" s="1">
        <v>4.91</v>
      </c>
      <c r="MC86" s="1">
        <v>4.88</v>
      </c>
      <c r="MD86" s="1">
        <v>4.6199999999999992</v>
      </c>
      <c r="ME86" s="1">
        <v>2.3600000000000003</v>
      </c>
      <c r="MF86" s="1">
        <v>2.0299999999999998</v>
      </c>
      <c r="MG86" s="1">
        <v>1.1200000000000001</v>
      </c>
      <c r="MH86" s="1">
        <v>1.26</v>
      </c>
      <c r="MI86" s="1">
        <v>1.56</v>
      </c>
      <c r="MJ86" s="1">
        <v>2.61</v>
      </c>
      <c r="MK86" s="1">
        <v>2.56</v>
      </c>
      <c r="ML86" s="1">
        <v>3.1</v>
      </c>
      <c r="MM86" s="1">
        <v>4.5599999999999996</v>
      </c>
      <c r="MN86" s="1">
        <v>4.46</v>
      </c>
      <c r="MO86" s="1">
        <v>3.7800000000000002</v>
      </c>
      <c r="MP86" s="1">
        <v>3.26</v>
      </c>
      <c r="MQ86" s="1">
        <v>2.9</v>
      </c>
      <c r="MR86" s="1">
        <v>1.6600000000000001</v>
      </c>
      <c r="MS86" s="1">
        <v>2.37</v>
      </c>
      <c r="MT86">
        <v>3.1</v>
      </c>
      <c r="MU86">
        <v>4.04</v>
      </c>
    </row>
    <row r="87" spans="1:359" ht="15.75" x14ac:dyDescent="0.25">
      <c r="A87" s="8" t="s">
        <v>0</v>
      </c>
      <c r="B87" s="39">
        <v>20569</v>
      </c>
      <c r="C87" s="39" t="s">
        <v>116</v>
      </c>
      <c r="D87" s="39" t="s">
        <v>150</v>
      </c>
      <c r="E87" s="39" t="s">
        <v>151</v>
      </c>
      <c r="F87" s="39" t="s">
        <v>46</v>
      </c>
      <c r="G87" s="39" t="s">
        <v>209</v>
      </c>
      <c r="H87" s="41">
        <v>33.5</v>
      </c>
      <c r="I87" s="39" t="s">
        <v>2</v>
      </c>
      <c r="J87" s="40">
        <v>19.048275</v>
      </c>
      <c r="K87" s="39">
        <v>16.539767300000001</v>
      </c>
      <c r="L87" s="39">
        <v>80.640710499999997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1.2</v>
      </c>
      <c r="Z87" s="1">
        <v>2.4700000000000002</v>
      </c>
      <c r="AA87" s="1">
        <v>3.8</v>
      </c>
      <c r="AB87" s="1">
        <v>4.99</v>
      </c>
      <c r="AC87" s="1">
        <v>5.91</v>
      </c>
      <c r="AD87" s="1">
        <v>5.51</v>
      </c>
      <c r="AE87" s="1">
        <v>5.42</v>
      </c>
      <c r="AF87" s="1">
        <v>4.6500000000000004</v>
      </c>
      <c r="AG87" s="1">
        <v>4.07</v>
      </c>
      <c r="AH87" s="1">
        <v>4</v>
      </c>
      <c r="AI87" s="1">
        <v>3.44</v>
      </c>
      <c r="AJ87" s="1">
        <v>3.5</v>
      </c>
      <c r="AK87" s="1">
        <v>3.53</v>
      </c>
      <c r="AL87" s="1">
        <v>3</v>
      </c>
      <c r="AM87" s="1">
        <v>2.6</v>
      </c>
      <c r="AN87" s="1">
        <v>2.4</v>
      </c>
      <c r="AO87" s="1">
        <v>2.12</v>
      </c>
      <c r="AP87" s="1">
        <v>1.88</v>
      </c>
      <c r="AQ87" s="1">
        <v>1.2</v>
      </c>
      <c r="AR87" s="1">
        <v>1</v>
      </c>
      <c r="AS87" s="1">
        <v>0.95</v>
      </c>
      <c r="AT87" s="1">
        <v>2.12</v>
      </c>
      <c r="AU87" s="1">
        <v>3.76</v>
      </c>
      <c r="AV87" s="1">
        <v>3.8</v>
      </c>
      <c r="AW87" s="1">
        <v>3.93</v>
      </c>
      <c r="AX87" s="1">
        <v>4.12</v>
      </c>
      <c r="AY87" s="1">
        <v>4.66</v>
      </c>
      <c r="AZ87" s="1">
        <v>5.4</v>
      </c>
      <c r="BA87" s="1">
        <v>5.53</v>
      </c>
      <c r="BB87" s="1">
        <v>5.71</v>
      </c>
      <c r="BC87" s="1">
        <v>5.98</v>
      </c>
      <c r="BD87" s="1">
        <v>3.91</v>
      </c>
      <c r="BE87" s="1">
        <v>3.98</v>
      </c>
      <c r="BF87" s="1">
        <v>5.03</v>
      </c>
      <c r="BG87" s="1">
        <v>5.25</v>
      </c>
      <c r="BH87" s="1">
        <v>4.0999999999999996</v>
      </c>
      <c r="BI87" s="1">
        <v>1.52</v>
      </c>
      <c r="BJ87" s="1">
        <v>2.46</v>
      </c>
      <c r="BK87" s="1">
        <v>4.43</v>
      </c>
      <c r="BL87" s="1">
        <v>4.8099999999999996</v>
      </c>
      <c r="BM87" s="1">
        <v>5.56</v>
      </c>
      <c r="BN87" s="1">
        <v>5.29</v>
      </c>
      <c r="BO87" s="1">
        <v>5</v>
      </c>
      <c r="BP87" s="1">
        <v>4.2699999999999996</v>
      </c>
      <c r="BQ87" s="1">
        <v>3.79</v>
      </c>
      <c r="BR87" s="1">
        <v>3.41</v>
      </c>
      <c r="BS87" s="1">
        <v>3.72</v>
      </c>
      <c r="BT87" s="1">
        <v>4.3099999999999996</v>
      </c>
      <c r="BU87" s="1">
        <v>4.1100000000000003</v>
      </c>
      <c r="BV87" s="1">
        <v>4.3899999999999997</v>
      </c>
      <c r="BW87" s="1">
        <v>4.3600000000000003</v>
      </c>
      <c r="BX87" s="1">
        <v>4.57</v>
      </c>
      <c r="BY87" s="1">
        <v>5.32</v>
      </c>
      <c r="BZ87" s="1">
        <v>5.76</v>
      </c>
      <c r="CA87" s="1">
        <v>5.64</v>
      </c>
      <c r="CB87" s="1">
        <v>4.9400000000000004</v>
      </c>
      <c r="CC87" s="1">
        <v>4.8499999999999996</v>
      </c>
      <c r="CD87" s="1">
        <v>4.59</v>
      </c>
      <c r="CE87" s="1">
        <v>4.6900000000000004</v>
      </c>
      <c r="CF87" s="1">
        <v>5.29</v>
      </c>
      <c r="CG87" s="1">
        <v>5.68</v>
      </c>
      <c r="CH87" s="1">
        <v>5.94</v>
      </c>
      <c r="CI87" s="1">
        <v>6.12</v>
      </c>
      <c r="CJ87" s="1">
        <v>6.38</v>
      </c>
      <c r="CK87" s="1">
        <v>6.56</v>
      </c>
      <c r="CL87" s="1">
        <v>6.67</v>
      </c>
      <c r="CM87" s="1">
        <v>6.73</v>
      </c>
      <c r="CN87" s="1">
        <v>6.35</v>
      </c>
      <c r="CO87" s="1">
        <v>6.3</v>
      </c>
      <c r="CP87" s="1">
        <v>5.4</v>
      </c>
      <c r="CQ87" s="1">
        <v>5.84</v>
      </c>
      <c r="CR87" s="1">
        <v>5.22</v>
      </c>
      <c r="CS87" s="1">
        <v>5.55</v>
      </c>
      <c r="CT87" s="1">
        <v>5.8</v>
      </c>
      <c r="CU87" s="1">
        <v>6.17</v>
      </c>
      <c r="CV87" s="1">
        <v>6.42</v>
      </c>
      <c r="CW87" s="1">
        <v>6.78</v>
      </c>
      <c r="CX87" s="1">
        <v>6.82</v>
      </c>
      <c r="CY87" s="1">
        <v>6.86</v>
      </c>
      <c r="CZ87" s="1">
        <v>6.52</v>
      </c>
      <c r="DA87" s="1">
        <v>6.01</v>
      </c>
      <c r="DB87" s="1">
        <v>5.47</v>
      </c>
      <c r="DC87" s="1">
        <v>5.36</v>
      </c>
      <c r="DD87" s="1">
        <v>5.49</v>
      </c>
      <c r="DE87" s="1">
        <v>5.88</v>
      </c>
      <c r="DF87" s="1">
        <v>6.23</v>
      </c>
      <c r="DG87" s="1">
        <v>5.5</v>
      </c>
      <c r="DH87" s="1">
        <v>6.77</v>
      </c>
      <c r="DI87" s="1">
        <v>6.91</v>
      </c>
      <c r="DJ87" s="1">
        <v>5.21</v>
      </c>
      <c r="DK87" s="1">
        <v>7.01</v>
      </c>
      <c r="DL87" s="1">
        <v>6.68</v>
      </c>
      <c r="DM87" s="1">
        <v>5.98</v>
      </c>
      <c r="DN87" s="1">
        <v>4.99</v>
      </c>
      <c r="DO87" s="1">
        <v>4.84</v>
      </c>
      <c r="DP87" s="1">
        <v>5.21</v>
      </c>
      <c r="DQ87" s="1">
        <v>5.29</v>
      </c>
      <c r="DR87" s="1">
        <v>5.43</v>
      </c>
      <c r="DS87" s="1">
        <v>5.54</v>
      </c>
      <c r="DT87" s="1">
        <v>5.67</v>
      </c>
      <c r="DU87" s="1">
        <v>5.88</v>
      </c>
      <c r="DV87" s="1">
        <v>6.41</v>
      </c>
      <c r="DW87" s="1">
        <v>6.3</v>
      </c>
      <c r="DX87" s="1">
        <v>6.05</v>
      </c>
      <c r="DY87" s="1">
        <v>5.46</v>
      </c>
      <c r="DZ87" s="1">
        <v>5.16</v>
      </c>
      <c r="EA87" s="1">
        <v>4.54</v>
      </c>
      <c r="EB87" s="1">
        <v>4.84</v>
      </c>
      <c r="EC87" s="1">
        <v>4.87</v>
      </c>
      <c r="ED87" s="1">
        <v>4.9000000000000004</v>
      </c>
      <c r="EE87" s="1">
        <v>5</v>
      </c>
      <c r="EF87" s="1">
        <v>5.33</v>
      </c>
      <c r="EG87" s="1">
        <v>5.64</v>
      </c>
      <c r="EH87" s="1">
        <v>6.32</v>
      </c>
      <c r="EI87" s="1">
        <v>5.84</v>
      </c>
      <c r="EJ87" s="1">
        <v>5.35</v>
      </c>
      <c r="EK87" s="1">
        <v>4.6500000000000004</v>
      </c>
      <c r="EL87" s="1">
        <v>4.42</v>
      </c>
      <c r="EM87" s="1">
        <v>4.7300000000000004</v>
      </c>
      <c r="EN87" s="1">
        <v>5.09</v>
      </c>
      <c r="EO87" s="1">
        <v>5.26</v>
      </c>
      <c r="EP87" s="1">
        <v>5.28</v>
      </c>
      <c r="EQ87" s="1">
        <v>5.25</v>
      </c>
      <c r="ER87" s="1">
        <v>5.64</v>
      </c>
      <c r="ES87" s="1">
        <v>5.88</v>
      </c>
      <c r="ET87" s="1">
        <v>6.47</v>
      </c>
      <c r="EU87" s="1">
        <v>6.11</v>
      </c>
      <c r="EV87" s="1">
        <v>4.84</v>
      </c>
      <c r="EW87" s="1">
        <v>4.82</v>
      </c>
      <c r="EX87" s="1">
        <v>4.88</v>
      </c>
      <c r="EY87" s="1">
        <v>5.17</v>
      </c>
      <c r="EZ87" s="1">
        <v>5.14</v>
      </c>
      <c r="FA87" s="1">
        <v>5.36</v>
      </c>
      <c r="FB87" s="1">
        <v>5.36</v>
      </c>
      <c r="FC87" s="1">
        <v>5.44</v>
      </c>
      <c r="FD87" s="1">
        <v>5.66</v>
      </c>
      <c r="FE87" s="1">
        <v>6.24</v>
      </c>
      <c r="FF87" s="1">
        <v>6.65</v>
      </c>
      <c r="FG87" s="1">
        <v>6.74</v>
      </c>
      <c r="FH87" s="1">
        <v>6.42</v>
      </c>
      <c r="FI87" s="1">
        <v>5.98</v>
      </c>
      <c r="FJ87" s="1">
        <v>5.36</v>
      </c>
      <c r="FK87" s="1">
        <v>5.27</v>
      </c>
      <c r="FL87" s="1">
        <v>5.41</v>
      </c>
      <c r="FM87" s="1">
        <v>5.32</v>
      </c>
      <c r="FN87" s="1">
        <v>5.31</v>
      </c>
      <c r="FO87" s="1">
        <v>5.39</v>
      </c>
      <c r="FP87" s="1">
        <v>5.64</v>
      </c>
      <c r="FQ87" s="1">
        <v>5.99</v>
      </c>
      <c r="FR87" s="1">
        <v>6.19</v>
      </c>
      <c r="FS87" s="1">
        <v>5.59</v>
      </c>
      <c r="FT87" s="1">
        <v>4.5599999999999996</v>
      </c>
      <c r="FU87" s="1">
        <v>3.74</v>
      </c>
      <c r="FV87" s="1">
        <v>3.84</v>
      </c>
      <c r="FW87" s="1">
        <v>4.04</v>
      </c>
      <c r="FX87" s="1">
        <v>4.24</v>
      </c>
      <c r="FY87" s="1">
        <v>4.4400000000000004</v>
      </c>
      <c r="FZ87" s="1">
        <v>4.76</v>
      </c>
      <c r="GA87" s="1">
        <v>4.6399999999999997</v>
      </c>
      <c r="GB87" s="1">
        <v>5.08</v>
      </c>
      <c r="GC87" s="1">
        <v>5.69</v>
      </c>
      <c r="GD87" s="1">
        <v>5.92</v>
      </c>
      <c r="GE87" s="1">
        <v>5.68</v>
      </c>
      <c r="GF87" s="1">
        <v>4.71</v>
      </c>
      <c r="GG87" s="1">
        <v>4.6900000000000004</v>
      </c>
      <c r="GH87" s="1">
        <v>4.6900000000000004</v>
      </c>
      <c r="GI87" s="1">
        <v>4.88</v>
      </c>
      <c r="GJ87" s="1">
        <v>5.44</v>
      </c>
      <c r="GK87" s="1">
        <v>5.7</v>
      </c>
      <c r="GL87" s="1">
        <v>5.77</v>
      </c>
      <c r="GM87" s="1">
        <v>6.42</v>
      </c>
      <c r="GN87" s="1">
        <v>5.69</v>
      </c>
      <c r="GO87" s="1">
        <v>6.89</v>
      </c>
      <c r="GP87" s="1">
        <v>7.04</v>
      </c>
      <c r="GQ87" s="1">
        <v>6.84</v>
      </c>
      <c r="GR87" s="1">
        <v>4.05</v>
      </c>
      <c r="GS87" s="1">
        <v>6.02</v>
      </c>
      <c r="GT87" s="1">
        <v>5.77</v>
      </c>
      <c r="GU87" s="1">
        <v>4.72</v>
      </c>
      <c r="GV87" s="1">
        <v>5.38</v>
      </c>
      <c r="GW87" s="1">
        <v>5.45</v>
      </c>
      <c r="GX87" s="1">
        <v>5.89</v>
      </c>
      <c r="GY87" s="1">
        <v>6.24</v>
      </c>
      <c r="GZ87" s="1">
        <v>6.47</v>
      </c>
      <c r="HA87" s="1">
        <v>6.64</v>
      </c>
      <c r="HB87" s="1">
        <v>6.94</v>
      </c>
      <c r="HC87" s="1">
        <v>6.94</v>
      </c>
      <c r="HD87" s="1">
        <v>6.58</v>
      </c>
      <c r="HE87" s="1">
        <v>5.94</v>
      </c>
      <c r="HF87" s="1">
        <v>5.34</v>
      </c>
      <c r="HG87" s="1">
        <v>4.6900000000000004</v>
      </c>
      <c r="HH87" s="1">
        <v>5.19</v>
      </c>
      <c r="HI87" s="1">
        <v>5.4</v>
      </c>
      <c r="HJ87" s="1">
        <v>5.54</v>
      </c>
      <c r="HK87" s="1">
        <v>5.6</v>
      </c>
      <c r="HL87" s="1">
        <v>5.72</v>
      </c>
      <c r="HM87" s="1">
        <v>6.22</v>
      </c>
      <c r="HN87" s="1">
        <v>6.77</v>
      </c>
      <c r="HO87" s="1">
        <v>6.82</v>
      </c>
      <c r="HP87" s="1">
        <v>6.69</v>
      </c>
      <c r="HQ87" s="1">
        <v>6.37</v>
      </c>
      <c r="HR87" s="1">
        <v>5.79</v>
      </c>
      <c r="HS87" s="1">
        <v>6.67</v>
      </c>
      <c r="HT87" s="1">
        <v>6.12</v>
      </c>
      <c r="HU87" s="1">
        <v>6.37</v>
      </c>
      <c r="HV87" s="1">
        <v>6.59</v>
      </c>
      <c r="HW87" s="1">
        <v>6.88</v>
      </c>
      <c r="HX87" s="1">
        <v>6.99</v>
      </c>
      <c r="HY87" s="1">
        <v>7.27</v>
      </c>
      <c r="HZ87" s="1">
        <v>7.21</v>
      </c>
      <c r="IA87" s="1">
        <v>4.62</v>
      </c>
      <c r="IB87" s="1">
        <v>7.07</v>
      </c>
      <c r="IC87" s="1">
        <v>7.32</v>
      </c>
      <c r="ID87" s="1">
        <v>7.28</v>
      </c>
      <c r="IE87" s="1">
        <v>7.38</v>
      </c>
      <c r="IF87" s="1">
        <v>7.53</v>
      </c>
      <c r="IG87" s="1">
        <v>7.54</v>
      </c>
      <c r="IH87" s="1">
        <v>7.68</v>
      </c>
      <c r="II87" s="1">
        <v>7.79</v>
      </c>
      <c r="IJ87" s="1">
        <v>7.9</v>
      </c>
      <c r="IK87" s="1">
        <v>8.0299999999999994</v>
      </c>
      <c r="IL87" s="1">
        <v>8.15</v>
      </c>
      <c r="IM87" s="1">
        <v>8.25</v>
      </c>
      <c r="IN87" s="1">
        <v>8.3000000000000007</v>
      </c>
      <c r="IO87" s="1">
        <v>8.3000000000000007</v>
      </c>
      <c r="IP87" s="1">
        <v>8.06</v>
      </c>
      <c r="IQ87" s="1">
        <v>8.09</v>
      </c>
      <c r="IR87" s="1">
        <v>8.07</v>
      </c>
      <c r="IS87" s="1">
        <v>8.08</v>
      </c>
      <c r="IT87" s="1">
        <v>8.19</v>
      </c>
      <c r="IU87" s="1">
        <v>8.31</v>
      </c>
      <c r="IV87" s="1">
        <v>8.42</v>
      </c>
      <c r="IW87" s="1">
        <v>8.36</v>
      </c>
      <c r="IX87" s="1">
        <v>8.64</v>
      </c>
      <c r="IY87" s="1">
        <v>8.6999999999999993</v>
      </c>
      <c r="IZ87" s="1">
        <v>8.6999999999999993</v>
      </c>
      <c r="JA87" s="1">
        <v>8.61</v>
      </c>
      <c r="JB87" s="1">
        <v>8.15</v>
      </c>
      <c r="JC87" s="1">
        <v>8.58</v>
      </c>
      <c r="JD87" s="1">
        <v>8.66</v>
      </c>
      <c r="JE87" s="1">
        <v>8.74</v>
      </c>
      <c r="JF87" s="1">
        <v>8.81</v>
      </c>
      <c r="JG87" s="1">
        <v>8.84</v>
      </c>
      <c r="JH87" s="1">
        <v>8.98</v>
      </c>
      <c r="JI87" s="1">
        <v>9.07</v>
      </c>
      <c r="JJ87" s="1">
        <v>9.2200000000000006</v>
      </c>
      <c r="JK87" s="1">
        <v>9.36</v>
      </c>
      <c r="JL87" s="1">
        <v>9.34</v>
      </c>
      <c r="JM87" s="1">
        <v>9.2799999999999994</v>
      </c>
      <c r="JN87" s="1">
        <v>9.0500000000000007</v>
      </c>
      <c r="JO87" s="1">
        <v>6.78</v>
      </c>
      <c r="JP87" s="1">
        <v>9.16</v>
      </c>
      <c r="JQ87" s="1">
        <v>9.18</v>
      </c>
      <c r="JR87" s="1">
        <v>9.27</v>
      </c>
      <c r="JS87" s="1">
        <v>9.31</v>
      </c>
      <c r="JT87" s="1">
        <v>9.06</v>
      </c>
      <c r="JU87" s="1">
        <v>9.56</v>
      </c>
      <c r="JV87" s="1">
        <v>9.76</v>
      </c>
      <c r="JW87" s="1">
        <v>9.91</v>
      </c>
      <c r="JX87" s="1">
        <v>9.99</v>
      </c>
      <c r="JY87" s="1">
        <v>9.92</v>
      </c>
      <c r="JZ87" s="1">
        <v>9.7100000000000009</v>
      </c>
      <c r="KA87" s="1">
        <v>10.59</v>
      </c>
      <c r="KB87" s="1">
        <v>10.55</v>
      </c>
      <c r="KC87" s="1">
        <v>10.58</v>
      </c>
      <c r="KD87" s="1">
        <v>9.69</v>
      </c>
      <c r="KE87" s="1"/>
      <c r="KF87" s="1"/>
      <c r="KG87" s="1"/>
      <c r="KH87" s="1">
        <v>10.08</v>
      </c>
      <c r="KI87" s="1">
        <v>9.34</v>
      </c>
      <c r="KJ87" s="1">
        <v>8.4600000000000009</v>
      </c>
      <c r="KK87" s="1">
        <v>7.15</v>
      </c>
      <c r="KL87" s="1">
        <v>6.88</v>
      </c>
      <c r="KM87" s="1">
        <v>7.01</v>
      </c>
      <c r="KN87" s="1">
        <v>7.32</v>
      </c>
      <c r="KO87" s="1">
        <v>9.66</v>
      </c>
      <c r="KP87" s="1">
        <v>9.74</v>
      </c>
      <c r="KQ87" s="1">
        <v>9.82</v>
      </c>
      <c r="KR87" s="1">
        <v>10.210000000000001</v>
      </c>
      <c r="KS87" s="1">
        <v>9.9600000000000009</v>
      </c>
      <c r="KT87" s="1">
        <v>9.52</v>
      </c>
      <c r="KU87" s="1">
        <v>9.2899999999999991</v>
      </c>
      <c r="KV87" s="1">
        <v>8.8699999999999992</v>
      </c>
      <c r="KW87" s="1">
        <v>7.7</v>
      </c>
      <c r="KX87" s="1">
        <v>10.06</v>
      </c>
      <c r="KY87" s="1">
        <v>10.01</v>
      </c>
      <c r="KZ87" s="1">
        <v>10.18</v>
      </c>
      <c r="LA87" s="1">
        <v>10.029999999999999</v>
      </c>
      <c r="LB87" s="1">
        <v>10.16</v>
      </c>
      <c r="LC87" s="1">
        <v>10.49</v>
      </c>
      <c r="LD87" s="1">
        <v>9.3800000000000008</v>
      </c>
      <c r="LE87" s="1">
        <v>10.56</v>
      </c>
      <c r="LF87" s="1">
        <v>10.61</v>
      </c>
      <c r="LG87" s="1">
        <v>10.66</v>
      </c>
      <c r="LH87" s="1">
        <v>10.540000000000001</v>
      </c>
      <c r="LI87" s="1">
        <v>10.66</v>
      </c>
      <c r="LJ87" s="1">
        <v>10.440000000000001</v>
      </c>
      <c r="LK87" s="1">
        <v>10.200000000000001</v>
      </c>
      <c r="LL87" s="1">
        <v>10.4</v>
      </c>
      <c r="LM87" s="1">
        <v>10.65</v>
      </c>
      <c r="LN87" s="1">
        <v>10.610000000000001</v>
      </c>
      <c r="LO87" s="1">
        <v>10.76</v>
      </c>
      <c r="LP87" s="1">
        <v>10.93</v>
      </c>
      <c r="LQ87" s="1">
        <v>11.16</v>
      </c>
      <c r="LR87" s="1">
        <v>12.3</v>
      </c>
      <c r="LS87" s="1">
        <v>11.39</v>
      </c>
      <c r="LT87" s="1">
        <v>11.42</v>
      </c>
      <c r="LU87" s="1">
        <v>11.440000000000001</v>
      </c>
      <c r="LV87" s="1">
        <v>11.46</v>
      </c>
      <c r="LW87" s="1">
        <v>11.55</v>
      </c>
      <c r="LX87" s="1">
        <v>11.090000000000002</v>
      </c>
      <c r="LY87" s="1">
        <v>11.530000000000001</v>
      </c>
      <c r="LZ87" s="1">
        <v>11.66</v>
      </c>
      <c r="MA87" s="1">
        <v>11.9</v>
      </c>
      <c r="MB87" s="1">
        <v>12.31</v>
      </c>
      <c r="MC87" s="1">
        <v>12.520000000000001</v>
      </c>
      <c r="MD87" s="1">
        <v>12.66</v>
      </c>
      <c r="ME87" s="1">
        <v>12.860000000000001</v>
      </c>
      <c r="MF87" s="1">
        <v>14.89</v>
      </c>
      <c r="MG87" s="1">
        <v>1.0599999999999998</v>
      </c>
      <c r="MH87" s="1">
        <v>1.7600000000000002</v>
      </c>
      <c r="MI87" s="1">
        <v>2.46</v>
      </c>
      <c r="MJ87" s="1">
        <v>3.2600000000000002</v>
      </c>
      <c r="MK87" s="1">
        <v>4.0600000000000005</v>
      </c>
      <c r="ML87" s="1">
        <v>4.4600000000000009</v>
      </c>
      <c r="MM87" s="1">
        <v>4.76</v>
      </c>
      <c r="MN87" s="1">
        <v>5.26</v>
      </c>
      <c r="MO87" s="1">
        <v>5.76</v>
      </c>
      <c r="MP87" s="1">
        <v>5.9600000000000009</v>
      </c>
      <c r="MQ87" s="1">
        <v>5.9</v>
      </c>
      <c r="MR87" s="1">
        <v>6.66</v>
      </c>
      <c r="MS87" s="1">
        <v>6.9600000000000009</v>
      </c>
      <c r="MT87">
        <v>5.47</v>
      </c>
      <c r="MU87">
        <v>5.42</v>
      </c>
    </row>
    <row r="88" spans="1:359" ht="15.75" x14ac:dyDescent="0.25">
      <c r="A88" s="8" t="s">
        <v>0</v>
      </c>
      <c r="B88" s="39">
        <v>20570</v>
      </c>
      <c r="C88" s="39" t="s">
        <v>116</v>
      </c>
      <c r="D88" s="39" t="s">
        <v>150</v>
      </c>
      <c r="E88" s="39" t="s">
        <v>152</v>
      </c>
      <c r="F88" s="39" t="s">
        <v>153</v>
      </c>
      <c r="G88" s="39" t="s">
        <v>209</v>
      </c>
      <c r="H88" s="41">
        <v>21.35</v>
      </c>
      <c r="I88" s="39" t="s">
        <v>2</v>
      </c>
      <c r="J88" s="40">
        <v>19.071433333333299</v>
      </c>
      <c r="K88" s="39">
        <v>16.507480699999999</v>
      </c>
      <c r="L88" s="39">
        <v>80.628825000000006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>
        <v>2.58</v>
      </c>
      <c r="AC88" s="1">
        <v>3.59</v>
      </c>
      <c r="AD88" s="1">
        <v>4.2300000000000004</v>
      </c>
      <c r="AE88" s="1">
        <v>5.86</v>
      </c>
      <c r="AF88" s="1">
        <v>4.95</v>
      </c>
      <c r="AG88" s="1">
        <v>4.13</v>
      </c>
      <c r="AH88" s="1">
        <v>3.2</v>
      </c>
      <c r="AI88" s="1">
        <v>4</v>
      </c>
      <c r="AJ88" s="1">
        <v>3.66</v>
      </c>
      <c r="AK88" s="1">
        <v>3.88</v>
      </c>
      <c r="AL88" s="1">
        <v>4.29</v>
      </c>
      <c r="AM88" s="1">
        <v>5.16</v>
      </c>
      <c r="AN88" s="1">
        <v>6.71</v>
      </c>
      <c r="AO88" s="1">
        <v>7.38</v>
      </c>
      <c r="AP88" s="1">
        <v>7.82</v>
      </c>
      <c r="AQ88" s="1">
        <v>6.88</v>
      </c>
      <c r="AR88" s="1">
        <v>5.55</v>
      </c>
      <c r="AS88" s="1">
        <v>3.91</v>
      </c>
      <c r="AT88" s="1">
        <v>3.51</v>
      </c>
      <c r="AU88" s="1">
        <v>4.6900000000000004</v>
      </c>
      <c r="AV88" s="1">
        <v>5.36</v>
      </c>
      <c r="AW88" s="1">
        <v>5.3</v>
      </c>
      <c r="AX88" s="1">
        <v>6</v>
      </c>
      <c r="AY88" s="1">
        <v>6.21</v>
      </c>
      <c r="AZ88" s="1">
        <v>6.39</v>
      </c>
      <c r="BA88" s="1">
        <v>6.51</v>
      </c>
      <c r="BB88" s="1">
        <v>6.45</v>
      </c>
      <c r="BC88" s="1">
        <v>5.98</v>
      </c>
      <c r="BD88" s="1">
        <v>4.75</v>
      </c>
      <c r="BE88" s="1">
        <v>4.59</v>
      </c>
      <c r="BF88" s="1">
        <v>5.78</v>
      </c>
      <c r="BG88" s="1">
        <v>6.3</v>
      </c>
      <c r="BH88" s="1">
        <v>6.55</v>
      </c>
      <c r="BI88" s="1">
        <v>3.21</v>
      </c>
      <c r="BJ88" s="1">
        <v>5.48</v>
      </c>
      <c r="BK88" s="1">
        <v>5.32</v>
      </c>
      <c r="BL88" s="1">
        <v>5.85</v>
      </c>
      <c r="BM88" s="1">
        <v>6.75</v>
      </c>
      <c r="BN88" s="1">
        <v>6.8</v>
      </c>
      <c r="BO88" s="1">
        <v>6.25</v>
      </c>
      <c r="BP88" s="1">
        <v>5.78</v>
      </c>
      <c r="BQ88" s="1">
        <v>5.8</v>
      </c>
      <c r="BR88" s="1">
        <v>4.99</v>
      </c>
      <c r="BS88" s="1">
        <v>5.2</v>
      </c>
      <c r="BT88" s="1">
        <v>5.72</v>
      </c>
      <c r="BU88" s="1">
        <v>5.82</v>
      </c>
      <c r="BV88" s="1">
        <v>5.95</v>
      </c>
      <c r="BW88" s="1">
        <v>4.74</v>
      </c>
      <c r="BX88" s="1">
        <v>4.67</v>
      </c>
      <c r="BY88" s="1">
        <v>7.35</v>
      </c>
      <c r="BZ88" s="1">
        <v>7.46</v>
      </c>
      <c r="CA88" s="1">
        <v>6.96</v>
      </c>
      <c r="CB88" s="1">
        <v>6.31</v>
      </c>
      <c r="CC88" s="1">
        <v>6.14</v>
      </c>
      <c r="CD88" s="1">
        <v>5.94</v>
      </c>
      <c r="CE88" s="1">
        <v>6.16</v>
      </c>
      <c r="CF88" s="1">
        <v>6.64</v>
      </c>
      <c r="CG88" s="1">
        <v>7.14</v>
      </c>
      <c r="CH88" s="1">
        <v>7.52</v>
      </c>
      <c r="CI88" s="1">
        <v>6.9</v>
      </c>
      <c r="CJ88" s="1">
        <v>7.21</v>
      </c>
      <c r="CK88" s="1">
        <v>8.25</v>
      </c>
      <c r="CL88" s="1">
        <v>8.4</v>
      </c>
      <c r="CM88" s="1">
        <v>8.42</v>
      </c>
      <c r="CN88" s="1">
        <v>6.87</v>
      </c>
      <c r="CO88" s="1">
        <v>6.84</v>
      </c>
      <c r="CP88" s="1">
        <v>6.03</v>
      </c>
      <c r="CQ88" s="1">
        <v>6.13</v>
      </c>
      <c r="CR88" s="1">
        <v>6.07</v>
      </c>
      <c r="CS88" s="1">
        <v>6.71</v>
      </c>
      <c r="CT88" s="1">
        <v>7</v>
      </c>
      <c r="CU88" s="1">
        <v>7.33</v>
      </c>
      <c r="CV88" s="1">
        <v>7.58</v>
      </c>
      <c r="CW88" s="1">
        <v>8.82</v>
      </c>
      <c r="CX88" s="1">
        <v>8.01</v>
      </c>
      <c r="CY88" s="1">
        <v>8.0500000000000007</v>
      </c>
      <c r="CZ88" s="1">
        <v>7.28</v>
      </c>
      <c r="DA88" s="1">
        <v>6.24</v>
      </c>
      <c r="DB88" s="1">
        <v>5.82</v>
      </c>
      <c r="DC88" s="1">
        <v>6.04</v>
      </c>
      <c r="DD88" s="1">
        <v>6.08</v>
      </c>
      <c r="DE88" s="1">
        <v>7</v>
      </c>
      <c r="DF88" s="1">
        <v>7.03</v>
      </c>
      <c r="DG88" s="1">
        <v>6.45</v>
      </c>
      <c r="DH88" s="1">
        <v>7.89</v>
      </c>
      <c r="DI88" s="1">
        <v>7.82</v>
      </c>
      <c r="DJ88" s="1">
        <v>8.41</v>
      </c>
      <c r="DK88" s="1">
        <v>7</v>
      </c>
      <c r="DL88" s="1">
        <v>4.95</v>
      </c>
      <c r="DM88" s="1">
        <v>3.83</v>
      </c>
      <c r="DN88" s="1">
        <v>4.28</v>
      </c>
      <c r="DO88" s="1">
        <v>4.8</v>
      </c>
      <c r="DP88" s="1">
        <v>5.84</v>
      </c>
      <c r="DQ88" s="1">
        <v>3.88</v>
      </c>
      <c r="DR88" s="1">
        <v>5.71</v>
      </c>
      <c r="DS88" s="1">
        <v>5.75</v>
      </c>
      <c r="DT88" s="1">
        <v>6.24</v>
      </c>
      <c r="DU88" s="1">
        <v>6.99</v>
      </c>
      <c r="DV88" s="1">
        <v>7.28</v>
      </c>
      <c r="DW88" s="1">
        <v>6.17</v>
      </c>
      <c r="DX88" s="1">
        <v>3.98</v>
      </c>
      <c r="DY88" s="1">
        <v>4.63</v>
      </c>
      <c r="DZ88" s="1">
        <v>4.47</v>
      </c>
      <c r="EA88" s="1">
        <v>4.8099999999999996</v>
      </c>
      <c r="EB88" s="1">
        <v>5.55</v>
      </c>
      <c r="EC88" s="1">
        <v>5.39</v>
      </c>
      <c r="ED88" s="1">
        <v>5.48</v>
      </c>
      <c r="EE88" s="1">
        <v>6</v>
      </c>
      <c r="EF88" s="1">
        <v>6.15</v>
      </c>
      <c r="EG88" s="1">
        <v>6.52</v>
      </c>
      <c r="EH88" s="1">
        <v>7.07</v>
      </c>
      <c r="EI88" s="1">
        <v>5.12</v>
      </c>
      <c r="EJ88" s="1">
        <v>4.21</v>
      </c>
      <c r="EK88" s="1">
        <v>3.73</v>
      </c>
      <c r="EL88" s="1">
        <v>4.12</v>
      </c>
      <c r="EM88" s="1">
        <v>5.0599999999999996</v>
      </c>
      <c r="EN88" s="1">
        <v>5.52</v>
      </c>
      <c r="EO88" s="1">
        <v>5.44</v>
      </c>
      <c r="EP88" s="1">
        <v>5.46</v>
      </c>
      <c r="EQ88" s="1">
        <v>5.42</v>
      </c>
      <c r="ER88" s="1">
        <v>5.63</v>
      </c>
      <c r="ES88" s="1">
        <v>7</v>
      </c>
      <c r="ET88" s="1">
        <v>6.12</v>
      </c>
      <c r="EU88" s="1">
        <v>5.49</v>
      </c>
      <c r="EV88" s="1">
        <v>4.99</v>
      </c>
      <c r="EW88" s="1">
        <v>4.74</v>
      </c>
      <c r="EX88" s="1">
        <v>4.99</v>
      </c>
      <c r="EY88" s="1">
        <v>5.33</v>
      </c>
      <c r="EZ88" s="1">
        <v>5.46</v>
      </c>
      <c r="FA88" s="1">
        <v>5.55</v>
      </c>
      <c r="FB88" s="1">
        <v>5.5</v>
      </c>
      <c r="FC88" s="1">
        <v>5.68</v>
      </c>
      <c r="FD88" s="1">
        <v>5.8</v>
      </c>
      <c r="FE88" s="1">
        <v>6.21</v>
      </c>
      <c r="FF88" s="1">
        <v>6.55</v>
      </c>
      <c r="FG88" s="1">
        <v>6.03</v>
      </c>
      <c r="FH88" s="1">
        <v>5.7</v>
      </c>
      <c r="FI88" s="1">
        <v>5.45</v>
      </c>
      <c r="FJ88" s="1">
        <v>5.1100000000000003</v>
      </c>
      <c r="FK88" s="1">
        <v>5.33</v>
      </c>
      <c r="FL88" s="1">
        <v>5.75</v>
      </c>
      <c r="FM88" s="1">
        <v>5.74</v>
      </c>
      <c r="FN88" s="1">
        <v>5.78</v>
      </c>
      <c r="FO88" s="1">
        <v>5.79</v>
      </c>
      <c r="FP88" s="1">
        <v>6.1</v>
      </c>
      <c r="FQ88" s="1">
        <v>6.24</v>
      </c>
      <c r="FR88" s="1">
        <v>7.05</v>
      </c>
      <c r="FS88" s="1">
        <v>5.33</v>
      </c>
      <c r="FT88" s="1">
        <v>4.75</v>
      </c>
      <c r="FU88" s="1">
        <v>5.52</v>
      </c>
      <c r="FV88" s="1">
        <v>5.66</v>
      </c>
      <c r="FW88" s="1">
        <v>5.0999999999999996</v>
      </c>
      <c r="FX88" s="1">
        <v>5.66</v>
      </c>
      <c r="FY88" s="1">
        <v>5.9</v>
      </c>
      <c r="FZ88" s="1">
        <v>6.12</v>
      </c>
      <c r="GA88" s="1">
        <v>6.4</v>
      </c>
      <c r="GB88" s="1">
        <v>6.54</v>
      </c>
      <c r="GC88" s="1">
        <v>6.8</v>
      </c>
      <c r="GD88" s="1">
        <v>7.48</v>
      </c>
      <c r="GE88" s="1">
        <v>6.23</v>
      </c>
      <c r="GF88" s="1">
        <v>4.5999999999999996</v>
      </c>
      <c r="GG88" s="1">
        <v>4.4000000000000004</v>
      </c>
      <c r="GH88" s="1">
        <v>4.78</v>
      </c>
      <c r="GI88" s="1">
        <v>4.6900000000000004</v>
      </c>
      <c r="GJ88" s="1">
        <v>6.15</v>
      </c>
      <c r="GK88" s="1">
        <v>6.9</v>
      </c>
      <c r="GL88" s="1">
        <v>6.99</v>
      </c>
      <c r="GM88" s="1">
        <v>7.44</v>
      </c>
      <c r="GN88" s="1">
        <v>7.7</v>
      </c>
      <c r="GO88" s="1">
        <v>8.25</v>
      </c>
      <c r="GP88" s="1">
        <v>8.48</v>
      </c>
      <c r="GQ88" s="1">
        <v>6.5</v>
      </c>
      <c r="GR88" s="1">
        <v>5.95</v>
      </c>
      <c r="GS88" s="1">
        <v>6</v>
      </c>
      <c r="GT88" s="1">
        <v>5.7</v>
      </c>
      <c r="GU88" s="1">
        <v>5.33</v>
      </c>
      <c r="GV88" s="1">
        <v>6.1</v>
      </c>
      <c r="GW88" s="1">
        <v>6.65</v>
      </c>
      <c r="GX88" s="1">
        <v>7.5</v>
      </c>
      <c r="GY88" s="1">
        <v>8.15</v>
      </c>
      <c r="GZ88" s="1">
        <v>7.82</v>
      </c>
      <c r="HA88" s="1">
        <v>8.3000000000000007</v>
      </c>
      <c r="HB88" s="1">
        <v>8.61</v>
      </c>
      <c r="HC88" s="1">
        <v>7.67</v>
      </c>
      <c r="HD88" s="1">
        <v>6.16</v>
      </c>
      <c r="HE88" s="1">
        <v>4.4000000000000004</v>
      </c>
      <c r="HF88" s="1">
        <v>4.17</v>
      </c>
      <c r="HG88" s="1">
        <v>4.25</v>
      </c>
      <c r="HH88" s="1">
        <v>5.3</v>
      </c>
      <c r="HI88" s="1">
        <v>5.7</v>
      </c>
      <c r="HJ88" s="1">
        <v>6.24</v>
      </c>
      <c r="HK88" s="1">
        <v>6.45</v>
      </c>
      <c r="HL88" s="1">
        <v>6.55</v>
      </c>
      <c r="HM88" s="1">
        <v>7.73</v>
      </c>
      <c r="HN88" s="1">
        <v>8.43</v>
      </c>
      <c r="HO88" s="1">
        <v>7.76</v>
      </c>
      <c r="HP88" s="1">
        <v>7.23</v>
      </c>
      <c r="HQ88" s="1">
        <v>5.65</v>
      </c>
      <c r="HR88" s="1">
        <v>5.3</v>
      </c>
      <c r="HS88" s="1">
        <v>5.83</v>
      </c>
      <c r="HT88" s="1">
        <v>6.58</v>
      </c>
      <c r="HU88" s="1">
        <v>6.81</v>
      </c>
      <c r="HV88" s="1">
        <v>7.29</v>
      </c>
      <c r="HW88" s="1">
        <v>7.58</v>
      </c>
      <c r="HX88" s="1">
        <v>8.1</v>
      </c>
      <c r="HY88" s="1">
        <v>8.6199999999999992</v>
      </c>
      <c r="HZ88" s="1">
        <v>8.9499999999999993</v>
      </c>
      <c r="IA88" s="1">
        <v>9.1199999999999992</v>
      </c>
      <c r="IB88" s="1">
        <v>6.89</v>
      </c>
      <c r="IC88" s="1">
        <v>6.99</v>
      </c>
      <c r="ID88" s="1">
        <v>7.76</v>
      </c>
      <c r="IE88" s="1">
        <v>7.6</v>
      </c>
      <c r="IF88" s="1">
        <v>7.91</v>
      </c>
      <c r="IG88" s="1">
        <v>8.52</v>
      </c>
      <c r="IH88" s="1">
        <v>8.74</v>
      </c>
      <c r="II88" s="1">
        <v>9.17</v>
      </c>
      <c r="IJ88" s="1">
        <v>9.02</v>
      </c>
      <c r="IK88" s="1">
        <v>9.35</v>
      </c>
      <c r="IL88" s="1">
        <v>9.19</v>
      </c>
      <c r="IM88" s="1">
        <v>8.6999999999999993</v>
      </c>
      <c r="IN88" s="1">
        <v>7.02</v>
      </c>
      <c r="IO88" s="1">
        <v>6.23</v>
      </c>
      <c r="IP88" s="1">
        <v>6.15</v>
      </c>
      <c r="IQ88" s="1">
        <v>6.62</v>
      </c>
      <c r="IR88" s="1">
        <v>6.95</v>
      </c>
      <c r="IS88" s="1">
        <v>7.75</v>
      </c>
      <c r="IT88" s="1">
        <v>8.4</v>
      </c>
      <c r="IU88" s="1">
        <v>8.5399999999999991</v>
      </c>
      <c r="IV88" s="1">
        <v>8.92</v>
      </c>
      <c r="IW88" s="1">
        <v>9.26</v>
      </c>
      <c r="IX88" s="1">
        <v>8.66</v>
      </c>
      <c r="IY88" s="1">
        <v>7.55</v>
      </c>
      <c r="IZ88" s="1">
        <v>6.32</v>
      </c>
      <c r="JA88" s="1">
        <v>7.06</v>
      </c>
      <c r="JB88" s="1">
        <v>7.02</v>
      </c>
      <c r="JC88" s="1">
        <v>7.27</v>
      </c>
      <c r="JD88" s="1">
        <v>7.86</v>
      </c>
      <c r="JE88" s="1">
        <v>8.2899999999999991</v>
      </c>
      <c r="JF88" s="1">
        <v>8.59</v>
      </c>
      <c r="JG88" s="1">
        <v>8.84</v>
      </c>
      <c r="JH88" s="1">
        <v>8.68</v>
      </c>
      <c r="JI88" s="1">
        <v>9.32</v>
      </c>
      <c r="JJ88" s="1">
        <v>9.32</v>
      </c>
      <c r="JK88" s="1">
        <v>7.16</v>
      </c>
      <c r="JL88" s="1">
        <v>6.66</v>
      </c>
      <c r="JM88" s="1">
        <v>6.06</v>
      </c>
      <c r="JN88" s="1">
        <v>7.38</v>
      </c>
      <c r="JO88" s="1">
        <v>6.78</v>
      </c>
      <c r="JP88" s="1">
        <v>7.3</v>
      </c>
      <c r="JQ88" s="1">
        <v>7.71</v>
      </c>
      <c r="JR88" s="1">
        <v>8.2200000000000006</v>
      </c>
      <c r="JS88" s="1">
        <v>8.7799999999999994</v>
      </c>
      <c r="JT88" s="1">
        <v>8.7899999999999991</v>
      </c>
      <c r="JU88" s="1">
        <v>9.4600000000000009</v>
      </c>
      <c r="JV88" s="1">
        <v>9.01</v>
      </c>
      <c r="JW88" s="1">
        <v>9.19</v>
      </c>
      <c r="JX88" s="1">
        <v>6.77</v>
      </c>
      <c r="JY88" s="1">
        <v>5.15</v>
      </c>
      <c r="JZ88" s="1">
        <v>5.19</v>
      </c>
      <c r="KA88" s="1">
        <v>5.52</v>
      </c>
      <c r="KB88" s="1">
        <v>5.34</v>
      </c>
      <c r="KC88" s="1">
        <v>5.66</v>
      </c>
      <c r="KD88" s="1">
        <v>5.94</v>
      </c>
      <c r="KE88" s="1"/>
      <c r="KF88" s="1"/>
      <c r="KG88" s="1"/>
      <c r="KH88" s="1">
        <v>8.52</v>
      </c>
      <c r="KI88" s="1">
        <v>8.16</v>
      </c>
      <c r="KJ88" s="1">
        <v>4.3600000000000003</v>
      </c>
      <c r="KK88" s="1">
        <v>4.8</v>
      </c>
      <c r="KL88" s="1">
        <v>3.22</v>
      </c>
      <c r="KM88" s="1">
        <v>5.52</v>
      </c>
      <c r="KN88" s="1">
        <v>6.42</v>
      </c>
      <c r="KO88" s="1">
        <v>6.8</v>
      </c>
      <c r="KP88" s="1">
        <v>7.01</v>
      </c>
      <c r="KQ88" s="1">
        <v>7.34</v>
      </c>
      <c r="KR88" s="1">
        <v>7.74</v>
      </c>
      <c r="KS88" s="1">
        <v>8.17</v>
      </c>
      <c r="KT88" s="1">
        <v>8</v>
      </c>
      <c r="KU88" s="1">
        <v>7.69</v>
      </c>
      <c r="KV88" s="1">
        <v>5.75</v>
      </c>
      <c r="KW88" s="1">
        <v>4.97</v>
      </c>
      <c r="KX88" s="1">
        <v>4.58</v>
      </c>
      <c r="KY88" s="1">
        <v>5.26</v>
      </c>
      <c r="KZ88" s="1">
        <v>6.8</v>
      </c>
      <c r="LA88" s="1">
        <v>7.08</v>
      </c>
      <c r="LB88" s="1">
        <v>7.62</v>
      </c>
      <c r="LC88" s="1">
        <v>8.11</v>
      </c>
      <c r="LD88" s="1">
        <v>7.67</v>
      </c>
      <c r="LE88" s="1">
        <v>8.7200000000000006</v>
      </c>
      <c r="LF88" s="1">
        <v>8.59</v>
      </c>
      <c r="LG88" s="1">
        <v>7.17</v>
      </c>
      <c r="LH88" s="1">
        <v>5.4600000000000009</v>
      </c>
      <c r="LI88" s="1">
        <v>4.83</v>
      </c>
      <c r="LJ88" s="1">
        <v>4.12</v>
      </c>
      <c r="LK88" s="1">
        <v>5.4700000000000006</v>
      </c>
      <c r="LL88" s="1">
        <v>6.69</v>
      </c>
      <c r="LM88" s="1">
        <v>6.2200000000000006</v>
      </c>
      <c r="LN88" s="1">
        <v>7.9399999999999995</v>
      </c>
      <c r="LO88" s="1">
        <v>8.4700000000000006</v>
      </c>
      <c r="LP88" s="1">
        <v>8.69</v>
      </c>
      <c r="LQ88" s="1">
        <v>8.92</v>
      </c>
      <c r="LR88" s="1">
        <v>9.85</v>
      </c>
      <c r="LS88" s="1">
        <v>8.59</v>
      </c>
      <c r="LT88" s="1">
        <v>7.42</v>
      </c>
      <c r="LU88" s="1">
        <v>7.12</v>
      </c>
      <c r="LV88" s="1">
        <v>7.42</v>
      </c>
      <c r="LW88" s="1">
        <v>7.9</v>
      </c>
      <c r="LX88" s="1">
        <v>7.4400000000000013</v>
      </c>
      <c r="LY88" s="1">
        <v>8.6300000000000008</v>
      </c>
      <c r="LZ88" s="1">
        <v>8.91</v>
      </c>
      <c r="MA88" s="1">
        <v>9.36</v>
      </c>
      <c r="MB88" s="1">
        <v>10.5</v>
      </c>
      <c r="MC88" s="1">
        <v>9.66</v>
      </c>
      <c r="MD88" s="1">
        <v>9.73</v>
      </c>
      <c r="ME88" s="1">
        <v>9.2200000000000006</v>
      </c>
      <c r="MF88" s="1">
        <v>6.91</v>
      </c>
      <c r="MG88" s="1">
        <v>5.12</v>
      </c>
      <c r="MH88" s="1">
        <v>4.7200000000000006</v>
      </c>
      <c r="MI88" s="1">
        <v>5.7200000000000006</v>
      </c>
      <c r="MJ88" s="1">
        <v>7.2200000000000006</v>
      </c>
      <c r="MK88" s="1">
        <v>8.120000000000001</v>
      </c>
      <c r="ML88" s="1">
        <v>8.7200000000000006</v>
      </c>
      <c r="MM88" s="1">
        <v>9.02</v>
      </c>
      <c r="MN88" s="1">
        <v>9.32</v>
      </c>
      <c r="MO88" s="1">
        <v>9.2200000000000006</v>
      </c>
      <c r="MP88" s="1">
        <v>9.02</v>
      </c>
      <c r="MQ88" s="1">
        <v>7.92</v>
      </c>
      <c r="MR88" s="1">
        <v>5.2200000000000006</v>
      </c>
      <c r="MS88" s="1">
        <v>4.12</v>
      </c>
      <c r="MT88">
        <v>2.57</v>
      </c>
      <c r="MU88">
        <v>2.57</v>
      </c>
    </row>
    <row r="89" spans="1:359" ht="15.75" x14ac:dyDescent="0.25">
      <c r="A89" s="8" t="s">
        <v>0</v>
      </c>
      <c r="B89" s="39">
        <v>20557</v>
      </c>
      <c r="C89" s="39" t="s">
        <v>116</v>
      </c>
      <c r="D89" s="39" t="s">
        <v>134</v>
      </c>
      <c r="E89" s="39" t="s">
        <v>154</v>
      </c>
      <c r="F89" s="39" t="s">
        <v>28</v>
      </c>
      <c r="G89" s="39" t="s">
        <v>210</v>
      </c>
      <c r="H89" s="41">
        <v>42</v>
      </c>
      <c r="I89" s="39" t="s">
        <v>124</v>
      </c>
      <c r="J89" s="40">
        <v>102.40479999999999</v>
      </c>
      <c r="K89" s="39">
        <v>17.131601</v>
      </c>
      <c r="L89" s="39">
        <v>80.581509999999994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>
        <v>1.64</v>
      </c>
      <c r="GZ89" s="1">
        <v>2.1</v>
      </c>
      <c r="HA89" s="1">
        <v>1.92</v>
      </c>
      <c r="HB89" s="1">
        <v>1.07</v>
      </c>
      <c r="HC89" s="1">
        <v>0.27</v>
      </c>
      <c r="HD89" s="1">
        <v>0.12</v>
      </c>
      <c r="HE89" s="1">
        <v>0.1</v>
      </c>
      <c r="HF89" s="1">
        <v>0.08</v>
      </c>
      <c r="HG89" s="1">
        <v>0.62</v>
      </c>
      <c r="HH89" s="1">
        <v>1.22</v>
      </c>
      <c r="HI89" s="1">
        <v>0.93</v>
      </c>
      <c r="HJ89" s="1">
        <v>1.1200000000000001</v>
      </c>
      <c r="HK89" s="1">
        <v>1.64</v>
      </c>
      <c r="HL89" s="1">
        <v>3.09</v>
      </c>
      <c r="HM89" s="1">
        <v>1.52</v>
      </c>
      <c r="HN89" s="1">
        <v>1.72</v>
      </c>
      <c r="HO89" s="1">
        <v>1.1399999999999999</v>
      </c>
      <c r="HP89" s="1">
        <v>1.19</v>
      </c>
      <c r="HQ89" s="1">
        <v>0.79</v>
      </c>
      <c r="HR89" s="1">
        <v>1.06</v>
      </c>
      <c r="HS89" s="1">
        <v>0.99</v>
      </c>
      <c r="HT89" s="1">
        <v>1.24</v>
      </c>
      <c r="HU89" s="1">
        <v>1.49</v>
      </c>
      <c r="HV89" s="1">
        <v>1.53</v>
      </c>
      <c r="HW89" s="1">
        <v>1.69</v>
      </c>
      <c r="HX89" s="1">
        <v>3.21</v>
      </c>
      <c r="HY89" s="1">
        <v>1.59</v>
      </c>
      <c r="HZ89" s="1">
        <v>0.69</v>
      </c>
      <c r="IA89" s="1">
        <v>0.97</v>
      </c>
      <c r="IB89" s="1">
        <v>0.97</v>
      </c>
      <c r="IC89" s="1">
        <v>0.72</v>
      </c>
      <c r="ID89" s="1">
        <v>0.78</v>
      </c>
      <c r="IE89" s="1">
        <v>0.99</v>
      </c>
      <c r="IF89" s="1">
        <v>1.1000000000000001</v>
      </c>
      <c r="IG89" s="1">
        <v>1.35</v>
      </c>
      <c r="IH89" s="1">
        <v>1.32</v>
      </c>
      <c r="II89" s="1">
        <v>1.42</v>
      </c>
      <c r="IJ89" s="1">
        <v>1.59</v>
      </c>
      <c r="IK89" s="1">
        <v>1.53</v>
      </c>
      <c r="IL89" s="1">
        <v>1.36</v>
      </c>
      <c r="IM89" s="1">
        <v>0.84</v>
      </c>
      <c r="IN89" s="1">
        <v>1.04</v>
      </c>
      <c r="IO89" s="1">
        <v>0.37</v>
      </c>
      <c r="IP89" s="1">
        <v>0.79</v>
      </c>
      <c r="IQ89" s="1">
        <v>1.1200000000000001</v>
      </c>
      <c r="IR89" s="1">
        <v>1.1299999999999999</v>
      </c>
      <c r="IS89" s="1">
        <v>1.1599999999999999</v>
      </c>
      <c r="IT89" s="1">
        <v>1.21</v>
      </c>
      <c r="IU89" s="1">
        <v>1.35</v>
      </c>
      <c r="IV89" s="1">
        <v>1.46</v>
      </c>
      <c r="IW89" s="1">
        <v>1.7</v>
      </c>
      <c r="IX89" s="1">
        <v>1.26</v>
      </c>
      <c r="IY89" s="1">
        <v>0.63</v>
      </c>
      <c r="IZ89" s="1">
        <v>0.56000000000000005</v>
      </c>
      <c r="JA89" s="1">
        <v>0.82</v>
      </c>
      <c r="JB89" s="1">
        <v>0.71</v>
      </c>
      <c r="JC89" s="1">
        <v>0.99</v>
      </c>
      <c r="JD89" s="1">
        <v>1.21</v>
      </c>
      <c r="JE89" s="1">
        <v>1.1200000000000001</v>
      </c>
      <c r="JF89" s="1">
        <v>1.1599999999999999</v>
      </c>
      <c r="JG89" s="1">
        <v>1.27</v>
      </c>
      <c r="JH89" s="1">
        <v>1.32</v>
      </c>
      <c r="JI89" s="1">
        <v>1.42</v>
      </c>
      <c r="JJ89" s="1">
        <v>1.07</v>
      </c>
      <c r="JK89" s="1">
        <v>0.67</v>
      </c>
      <c r="JL89" s="1">
        <v>0.48</v>
      </c>
      <c r="JM89" s="1">
        <v>0.59</v>
      </c>
      <c r="JN89" s="1">
        <v>0.81</v>
      </c>
      <c r="JO89" s="1">
        <v>1.36</v>
      </c>
      <c r="JP89" s="1">
        <v>0.96</v>
      </c>
      <c r="JQ89" s="1">
        <v>1.01</v>
      </c>
      <c r="JR89" s="1">
        <v>1.21</v>
      </c>
      <c r="JS89" s="1">
        <v>1.46</v>
      </c>
      <c r="JT89" s="1">
        <v>1.65</v>
      </c>
      <c r="JU89" s="1">
        <v>1.86</v>
      </c>
      <c r="JV89" s="1">
        <v>2.29</v>
      </c>
      <c r="JW89" s="1">
        <v>2.16</v>
      </c>
      <c r="JX89" s="1">
        <v>0.56000000000000005</v>
      </c>
      <c r="JY89" s="1">
        <v>0.54</v>
      </c>
      <c r="JZ89" s="1">
        <v>0.45</v>
      </c>
      <c r="KA89" s="1">
        <v>1.02</v>
      </c>
      <c r="KB89" s="1">
        <v>1.23</v>
      </c>
      <c r="KC89" s="1">
        <v>1.56</v>
      </c>
      <c r="KD89" s="1">
        <v>2.19</v>
      </c>
      <c r="KE89" s="1"/>
      <c r="KF89" s="1"/>
      <c r="KG89" s="1">
        <v>1.51</v>
      </c>
      <c r="KH89" s="1">
        <v>0.89</v>
      </c>
      <c r="KI89" s="1">
        <v>0.51</v>
      </c>
      <c r="KJ89" s="1">
        <v>0.41</v>
      </c>
      <c r="KK89" s="1">
        <v>0.49</v>
      </c>
      <c r="KL89" s="1">
        <v>0.56000000000000005</v>
      </c>
      <c r="KM89" s="1">
        <v>0.98</v>
      </c>
      <c r="KN89" s="1">
        <v>0.91</v>
      </c>
      <c r="KO89" s="1">
        <v>1.36</v>
      </c>
      <c r="KP89" s="1">
        <v>1.79</v>
      </c>
      <c r="KQ89" s="1">
        <v>2.25</v>
      </c>
      <c r="KR89" s="1">
        <v>2.86</v>
      </c>
      <c r="KS89" s="1">
        <v>2.92</v>
      </c>
      <c r="KT89" s="1">
        <v>2.73</v>
      </c>
      <c r="KU89" s="1">
        <v>1.27</v>
      </c>
      <c r="KV89" s="1">
        <v>0.46</v>
      </c>
      <c r="KW89" s="1">
        <v>0.56999999999999995</v>
      </c>
      <c r="KX89" s="1">
        <v>0.79</v>
      </c>
      <c r="KY89" s="1">
        <v>0.67</v>
      </c>
      <c r="KZ89" s="1">
        <v>1.08</v>
      </c>
      <c r="LA89" s="1">
        <v>1.53</v>
      </c>
      <c r="LB89" s="1">
        <v>1.78</v>
      </c>
      <c r="LC89" s="1">
        <v>2.09</v>
      </c>
      <c r="LD89" s="1">
        <v>0.51</v>
      </c>
      <c r="LE89" s="1">
        <v>1.69</v>
      </c>
      <c r="LF89" s="1">
        <v>1.56</v>
      </c>
      <c r="LG89" s="1">
        <v>0.44000000000000006</v>
      </c>
      <c r="LH89" s="1">
        <v>0.56000000000000005</v>
      </c>
      <c r="LI89" s="1">
        <v>0.9900000000000001</v>
      </c>
      <c r="LJ89" s="1">
        <v>1.0100000000000002</v>
      </c>
      <c r="LK89" s="1">
        <v>1.1499999999999999</v>
      </c>
      <c r="LL89" s="1">
        <v>1.5</v>
      </c>
      <c r="LM89" s="1">
        <v>2.27</v>
      </c>
      <c r="LN89" s="1">
        <v>1.7600000000000002</v>
      </c>
      <c r="LO89" s="1">
        <v>1.48</v>
      </c>
      <c r="LP89" s="1">
        <v>1.5700000000000003</v>
      </c>
      <c r="LQ89" s="1">
        <v>1.7000000000000002</v>
      </c>
      <c r="LR89" s="1">
        <v>2.71</v>
      </c>
      <c r="LS89" s="1">
        <v>0.51000000000000012</v>
      </c>
      <c r="LT89" s="1">
        <v>0.66</v>
      </c>
      <c r="LU89" s="1">
        <v>1.0699999999999998</v>
      </c>
      <c r="LV89" s="1">
        <v>1.44</v>
      </c>
      <c r="LW89" s="1">
        <v>1.8200000000000003</v>
      </c>
      <c r="LX89" s="1">
        <v>1.58</v>
      </c>
      <c r="LY89" s="1">
        <v>1.6400000000000001</v>
      </c>
      <c r="LZ89" s="1">
        <v>1.9100000000000001</v>
      </c>
      <c r="MA89" s="1">
        <v>2.31</v>
      </c>
      <c r="MB89" s="1">
        <v>2.71</v>
      </c>
      <c r="MC89" s="1">
        <v>2.79</v>
      </c>
      <c r="MD89" s="1">
        <v>1.35</v>
      </c>
      <c r="ME89" s="1">
        <v>1.0100000000000002</v>
      </c>
      <c r="MF89" s="1">
        <v>0.95000000000000007</v>
      </c>
      <c r="MG89" s="1">
        <v>0.64999999999999991</v>
      </c>
      <c r="MH89" s="1">
        <v>1.0100000000000002</v>
      </c>
      <c r="MI89" s="1">
        <v>1.21</v>
      </c>
      <c r="MJ89" s="1">
        <v>1.31</v>
      </c>
      <c r="MK89" s="1">
        <v>1.6100000000000003</v>
      </c>
      <c r="ML89" s="1">
        <v>1.71</v>
      </c>
      <c r="MM89" s="1">
        <v>1.81</v>
      </c>
      <c r="MN89" s="1">
        <v>1.1100000000000003</v>
      </c>
      <c r="MO89" s="1">
        <v>1.79</v>
      </c>
      <c r="MP89" s="1">
        <v>1.21</v>
      </c>
      <c r="MQ89" s="1">
        <v>0.71</v>
      </c>
      <c r="MR89" s="1">
        <v>1.21</v>
      </c>
      <c r="MS89" s="1">
        <v>1.21</v>
      </c>
      <c r="MT89">
        <v>2.44</v>
      </c>
      <c r="MU89">
        <v>2.71</v>
      </c>
    </row>
    <row r="90" spans="1:359" ht="15.75" x14ac:dyDescent="0.25">
      <c r="A90" s="8" t="s">
        <v>0</v>
      </c>
      <c r="B90" s="39">
        <v>20567</v>
      </c>
      <c r="C90" s="39" t="s">
        <v>116</v>
      </c>
      <c r="D90" s="39" t="s">
        <v>148</v>
      </c>
      <c r="E90" s="39" t="s">
        <v>155</v>
      </c>
      <c r="F90" s="39" t="s">
        <v>28</v>
      </c>
      <c r="G90" s="39" t="s">
        <v>210</v>
      </c>
      <c r="H90" s="41">
        <v>40</v>
      </c>
      <c r="I90" s="39" t="s">
        <v>119</v>
      </c>
      <c r="J90" s="40">
        <v>58.3979</v>
      </c>
      <c r="K90" s="39">
        <v>16.766542000000001</v>
      </c>
      <c r="L90" s="39">
        <v>80.436550999999994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>
        <v>4.2</v>
      </c>
      <c r="GZ90" s="1">
        <v>4.53</v>
      </c>
      <c r="HA90" s="1">
        <v>5.0599999999999996</v>
      </c>
      <c r="HB90" s="1">
        <v>5.42</v>
      </c>
      <c r="HC90" s="1">
        <v>4.3600000000000003</v>
      </c>
      <c r="HD90" s="1">
        <v>3</v>
      </c>
      <c r="HE90" s="1">
        <v>1.5</v>
      </c>
      <c r="HF90" s="1">
        <v>1.07</v>
      </c>
      <c r="HG90" s="1">
        <v>2.2599999999999998</v>
      </c>
      <c r="HH90" s="1">
        <v>2.5499999999999998</v>
      </c>
      <c r="HI90" s="1">
        <v>2.88</v>
      </c>
      <c r="HJ90" s="1">
        <v>3.19</v>
      </c>
      <c r="HK90" s="1">
        <v>3.37</v>
      </c>
      <c r="HL90" s="1">
        <v>4.04</v>
      </c>
      <c r="HM90" s="1">
        <v>4.45</v>
      </c>
      <c r="HN90" s="1">
        <v>4.9400000000000004</v>
      </c>
      <c r="HO90" s="1">
        <v>3.79</v>
      </c>
      <c r="HP90" s="1">
        <v>3.91</v>
      </c>
      <c r="HQ90" s="1">
        <v>1.55</v>
      </c>
      <c r="HR90" s="1">
        <v>2.74</v>
      </c>
      <c r="HS90" s="1">
        <v>2.94</v>
      </c>
      <c r="HT90" s="1">
        <v>2.96</v>
      </c>
      <c r="HU90" s="1">
        <v>3.19</v>
      </c>
      <c r="HV90" s="1">
        <v>3.57</v>
      </c>
      <c r="HW90" s="1">
        <v>4.3600000000000003</v>
      </c>
      <c r="HX90" s="1">
        <v>4.6399999999999997</v>
      </c>
      <c r="HY90" s="1">
        <v>5.15</v>
      </c>
      <c r="HZ90" s="1">
        <v>1.89</v>
      </c>
      <c r="IA90" s="1">
        <v>3.3</v>
      </c>
      <c r="IB90" s="1">
        <v>2.09</v>
      </c>
      <c r="IC90" s="1">
        <v>2.04</v>
      </c>
      <c r="ID90" s="1">
        <v>2.13</v>
      </c>
      <c r="IE90" s="1">
        <v>3.54</v>
      </c>
      <c r="IF90" s="1">
        <v>3.83</v>
      </c>
      <c r="IG90" s="1">
        <v>4.54</v>
      </c>
      <c r="IH90" s="1">
        <v>5.15</v>
      </c>
      <c r="II90" s="1">
        <v>5.45</v>
      </c>
      <c r="IJ90" s="1">
        <v>6.04</v>
      </c>
      <c r="IK90" s="1">
        <v>6.33</v>
      </c>
      <c r="IL90" s="1">
        <v>6.35</v>
      </c>
      <c r="IM90" s="1">
        <v>5.25</v>
      </c>
      <c r="IN90" s="1">
        <v>3.62</v>
      </c>
      <c r="IO90" s="1">
        <v>3.21</v>
      </c>
      <c r="IP90" s="1">
        <v>2.46</v>
      </c>
      <c r="IQ90" s="1">
        <v>3.08</v>
      </c>
      <c r="IR90" s="1">
        <v>3.92</v>
      </c>
      <c r="IS90" s="1">
        <v>4.33</v>
      </c>
      <c r="IT90" s="1">
        <v>5.01</v>
      </c>
      <c r="IU90" s="1">
        <v>5.56</v>
      </c>
      <c r="IV90" s="1">
        <v>6.08</v>
      </c>
      <c r="IW90" s="1">
        <v>6.39</v>
      </c>
      <c r="IX90" s="1">
        <v>5.69</v>
      </c>
      <c r="IY90" s="1">
        <v>5.24</v>
      </c>
      <c r="IZ90" s="1">
        <v>3.63</v>
      </c>
      <c r="JA90" s="1">
        <v>1.69</v>
      </c>
      <c r="JB90" s="1">
        <v>1.57</v>
      </c>
      <c r="JC90" s="1">
        <v>2.66</v>
      </c>
      <c r="JD90" s="1">
        <v>3.29</v>
      </c>
      <c r="JE90" s="1">
        <v>3.75</v>
      </c>
      <c r="JF90" s="1">
        <v>4.26</v>
      </c>
      <c r="JG90" s="1">
        <v>4.91</v>
      </c>
      <c r="JH90" s="1">
        <v>5.07</v>
      </c>
      <c r="JI90" s="1">
        <v>5.8</v>
      </c>
      <c r="JJ90" s="1">
        <v>6</v>
      </c>
      <c r="JK90" s="1">
        <v>4.51</v>
      </c>
      <c r="JL90" s="1">
        <v>2.04</v>
      </c>
      <c r="JM90" s="1">
        <v>3.24</v>
      </c>
      <c r="JN90" s="1">
        <v>3.36</v>
      </c>
      <c r="JO90" s="1">
        <v>4.6500000000000004</v>
      </c>
      <c r="JP90" s="1">
        <v>3.47</v>
      </c>
      <c r="JQ90" s="1">
        <v>3.8</v>
      </c>
      <c r="JR90" s="1">
        <v>4.84</v>
      </c>
      <c r="JS90" s="1">
        <v>4.68</v>
      </c>
      <c r="JT90" s="1">
        <v>5.36</v>
      </c>
      <c r="JU90" s="1">
        <v>5.94</v>
      </c>
      <c r="JV90" s="1">
        <v>6.54</v>
      </c>
      <c r="JW90" s="1">
        <v>6.74</v>
      </c>
      <c r="JX90" s="1">
        <v>5.89</v>
      </c>
      <c r="JY90" s="1">
        <v>4.1399999999999997</v>
      </c>
      <c r="JZ90" s="1">
        <v>3.56</v>
      </c>
      <c r="KA90" s="1">
        <v>3.74</v>
      </c>
      <c r="KB90" s="1">
        <v>3.16</v>
      </c>
      <c r="KC90" s="1">
        <v>4.7699999999999996</v>
      </c>
      <c r="KD90" s="1">
        <v>5.26</v>
      </c>
      <c r="KE90" s="1"/>
      <c r="KF90" s="1"/>
      <c r="KG90" s="1">
        <v>6.9</v>
      </c>
      <c r="KH90" s="1">
        <v>5.81</v>
      </c>
      <c r="KI90" s="1">
        <v>3.79</v>
      </c>
      <c r="KJ90" s="1">
        <v>2.75</v>
      </c>
      <c r="KK90" s="1">
        <v>2.54</v>
      </c>
      <c r="KL90" s="1">
        <v>0.97</v>
      </c>
      <c r="KM90" s="1">
        <v>2.41</v>
      </c>
      <c r="KN90" s="1">
        <v>2.36</v>
      </c>
      <c r="KO90" s="1">
        <v>3.04</v>
      </c>
      <c r="KP90" s="1">
        <v>3.34</v>
      </c>
      <c r="KQ90" s="1">
        <v>4.0599999999999996</v>
      </c>
      <c r="KR90" s="1">
        <v>4.59</v>
      </c>
      <c r="KS90" s="1">
        <v>5.2</v>
      </c>
      <c r="KT90" s="1">
        <v>5.17</v>
      </c>
      <c r="KU90" s="1">
        <v>4.67</v>
      </c>
      <c r="KV90" s="1">
        <v>4.0199999999999996</v>
      </c>
      <c r="KW90" s="1">
        <v>4.1500000000000004</v>
      </c>
      <c r="KX90" s="1">
        <v>3.7</v>
      </c>
      <c r="KY90" s="1">
        <v>3.09</v>
      </c>
      <c r="KZ90" s="1">
        <v>3.18</v>
      </c>
      <c r="LA90" s="1">
        <v>3.59</v>
      </c>
      <c r="LB90" s="1">
        <v>4.0199999999999996</v>
      </c>
      <c r="LC90" s="1">
        <v>4.6900000000000004</v>
      </c>
      <c r="LD90" s="1">
        <v>5.04</v>
      </c>
      <c r="LE90" s="1">
        <v>8.3699999999999992</v>
      </c>
      <c r="LF90" s="1">
        <v>5.24</v>
      </c>
      <c r="LG90" s="1">
        <v>3</v>
      </c>
      <c r="LH90" s="1">
        <v>2.1399999999999997</v>
      </c>
      <c r="LI90" s="1">
        <v>2.41</v>
      </c>
      <c r="LJ90" s="1">
        <v>1.6400000000000001</v>
      </c>
      <c r="LK90" s="1">
        <v>2.1199999999999997</v>
      </c>
      <c r="LL90" s="1">
        <v>2.54</v>
      </c>
      <c r="LM90" s="1">
        <v>3.18</v>
      </c>
      <c r="LN90" s="1">
        <v>3.81</v>
      </c>
      <c r="LO90" s="1">
        <v>4.09</v>
      </c>
      <c r="LP90" s="1">
        <v>4.5399999999999991</v>
      </c>
      <c r="LQ90" s="1">
        <v>4.7899999999999991</v>
      </c>
      <c r="LR90" s="1">
        <v>5.64</v>
      </c>
      <c r="LS90" s="1">
        <v>5.1300000000000008</v>
      </c>
      <c r="LT90" s="1">
        <v>3.19</v>
      </c>
      <c r="LU90" s="1">
        <v>2.67</v>
      </c>
      <c r="LV90" s="1">
        <v>2.94</v>
      </c>
      <c r="LW90" s="1">
        <v>3.01</v>
      </c>
      <c r="LX90" s="1">
        <v>2.87</v>
      </c>
      <c r="LY90" s="1">
        <v>3.4599999999999995</v>
      </c>
      <c r="LZ90" s="1">
        <v>3.9099999999999997</v>
      </c>
      <c r="MA90" s="1">
        <v>4.8599999999999994</v>
      </c>
      <c r="MB90" s="1">
        <v>5.57</v>
      </c>
      <c r="MC90" s="1">
        <v>5.9</v>
      </c>
      <c r="MD90" s="1">
        <v>6.18</v>
      </c>
      <c r="ME90" s="1">
        <v>4.5399999999999991</v>
      </c>
      <c r="MF90" s="1">
        <v>4.7099999999999991</v>
      </c>
      <c r="MG90" s="1">
        <v>1.6</v>
      </c>
      <c r="MH90" s="1">
        <v>1.94</v>
      </c>
      <c r="MI90" s="1">
        <v>2.54</v>
      </c>
      <c r="MJ90" s="1">
        <v>3.2399999999999998</v>
      </c>
      <c r="MK90" s="1">
        <v>3.8400000000000003</v>
      </c>
      <c r="ML90" s="1">
        <v>4.24</v>
      </c>
      <c r="MM90" s="1">
        <v>4.6400000000000006</v>
      </c>
      <c r="MN90" s="1">
        <v>5.24</v>
      </c>
      <c r="MO90" s="1">
        <v>5.7799999999999994</v>
      </c>
      <c r="MP90" s="1">
        <v>5.4399999999999995</v>
      </c>
      <c r="MQ90" s="1">
        <v>4.5999999999999996</v>
      </c>
      <c r="MR90" s="1">
        <v>2.04</v>
      </c>
      <c r="MS90" s="1">
        <v>1.44</v>
      </c>
      <c r="MT90">
        <v>1</v>
      </c>
      <c r="MU90">
        <v>1.04</v>
      </c>
    </row>
    <row r="91" spans="1:359" ht="15.75" x14ac:dyDescent="0.25">
      <c r="A91" s="8" t="s">
        <v>0</v>
      </c>
      <c r="B91" s="39">
        <v>20512</v>
      </c>
      <c r="C91" s="39" t="s">
        <v>116</v>
      </c>
      <c r="D91" s="39" t="s">
        <v>127</v>
      </c>
      <c r="E91" s="39" t="s">
        <v>156</v>
      </c>
      <c r="F91" s="39" t="s">
        <v>157</v>
      </c>
      <c r="G91" s="39" t="s">
        <v>210</v>
      </c>
      <c r="H91" s="41">
        <v>30</v>
      </c>
      <c r="I91" s="39" t="s">
        <v>119</v>
      </c>
      <c r="J91" s="40">
        <v>77.567539999999994</v>
      </c>
      <c r="K91" s="39">
        <v>16.817525</v>
      </c>
      <c r="L91" s="39">
        <v>80.186030000000002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>
        <v>3.65</v>
      </c>
      <c r="GZ91" s="1">
        <v>4.67</v>
      </c>
      <c r="HA91" s="1">
        <v>5.35</v>
      </c>
      <c r="HB91" s="1">
        <v>4.5999999999999996</v>
      </c>
      <c r="HC91" s="1">
        <v>3.3</v>
      </c>
      <c r="HD91" s="1">
        <v>2.12</v>
      </c>
      <c r="HE91" s="1">
        <v>1.22</v>
      </c>
      <c r="HF91" s="1">
        <v>0.89</v>
      </c>
      <c r="HG91" s="1">
        <v>1.33</v>
      </c>
      <c r="HH91" s="1">
        <v>1.8</v>
      </c>
      <c r="HI91" s="1">
        <v>2.21</v>
      </c>
      <c r="HJ91" s="1">
        <v>2.5299999999999998</v>
      </c>
      <c r="HK91" s="1">
        <v>2.68</v>
      </c>
      <c r="HL91" s="1">
        <v>2.95</v>
      </c>
      <c r="HM91" s="1">
        <v>3.44</v>
      </c>
      <c r="HN91" s="1">
        <v>4.25</v>
      </c>
      <c r="HO91" s="1">
        <v>3.38</v>
      </c>
      <c r="HP91" s="1">
        <v>3.48</v>
      </c>
      <c r="HQ91" s="1">
        <v>0.93</v>
      </c>
      <c r="HR91" s="1">
        <v>1.45</v>
      </c>
      <c r="HS91" s="1">
        <v>1.1100000000000001</v>
      </c>
      <c r="HT91" s="1">
        <v>1.48</v>
      </c>
      <c r="HU91" s="1">
        <v>2.0099999999999998</v>
      </c>
      <c r="HV91" s="1">
        <v>2.4300000000000002</v>
      </c>
      <c r="HW91" s="1">
        <v>3.13</v>
      </c>
      <c r="HX91" s="1">
        <v>3.63</v>
      </c>
      <c r="HY91" s="1">
        <v>4.1100000000000003</v>
      </c>
      <c r="HZ91" s="1">
        <v>1.68</v>
      </c>
      <c r="IA91" s="1">
        <v>3.39</v>
      </c>
      <c r="IB91" s="1">
        <v>3.53</v>
      </c>
      <c r="IC91" s="1">
        <v>2.5</v>
      </c>
      <c r="ID91" s="1">
        <v>3.57</v>
      </c>
      <c r="IE91" s="1">
        <v>3.7</v>
      </c>
      <c r="IF91" s="1">
        <v>4.46</v>
      </c>
      <c r="IG91" s="1">
        <v>4.1500000000000004</v>
      </c>
      <c r="IH91" s="1">
        <v>4.51</v>
      </c>
      <c r="II91" s="1">
        <v>4.55</v>
      </c>
      <c r="IJ91" s="1">
        <v>4.8899999999999997</v>
      </c>
      <c r="IK91" s="1">
        <v>6.46</v>
      </c>
      <c r="IL91" s="1">
        <v>6.52</v>
      </c>
      <c r="IM91" s="1">
        <v>5.96</v>
      </c>
      <c r="IN91" s="1">
        <v>3.95</v>
      </c>
      <c r="IO91" s="1">
        <v>2.77</v>
      </c>
      <c r="IP91" s="1">
        <v>1.8</v>
      </c>
      <c r="IQ91" s="1">
        <v>3.01</v>
      </c>
      <c r="IR91" s="1">
        <v>3.37</v>
      </c>
      <c r="IS91" s="1">
        <v>3.45</v>
      </c>
      <c r="IT91" s="1">
        <v>4.01</v>
      </c>
      <c r="IU91" s="1">
        <v>4.0999999999999996</v>
      </c>
      <c r="IV91" s="1">
        <v>5.21</v>
      </c>
      <c r="IW91" s="1">
        <v>6.28</v>
      </c>
      <c r="IX91" s="1">
        <v>5.75</v>
      </c>
      <c r="IY91" s="1">
        <v>2.8</v>
      </c>
      <c r="IZ91" s="1">
        <v>3.56</v>
      </c>
      <c r="JA91" s="1">
        <v>2.98</v>
      </c>
      <c r="JB91" s="1">
        <v>3.58</v>
      </c>
      <c r="JC91" s="1">
        <v>3.7</v>
      </c>
      <c r="JD91" s="1">
        <v>3.78</v>
      </c>
      <c r="JE91" s="1">
        <v>3.49</v>
      </c>
      <c r="JF91" s="1">
        <v>3.41</v>
      </c>
      <c r="JG91" s="1">
        <v>3.96</v>
      </c>
      <c r="JH91" s="1">
        <v>4.0199999999999996</v>
      </c>
      <c r="JI91" s="1">
        <v>4.57</v>
      </c>
      <c r="JJ91" s="1">
        <v>6</v>
      </c>
      <c r="JK91" s="1">
        <v>4.3600000000000003</v>
      </c>
      <c r="JL91" s="1">
        <v>2.09</v>
      </c>
      <c r="JM91" s="1">
        <v>2.79</v>
      </c>
      <c r="JN91" s="1">
        <v>1.99</v>
      </c>
      <c r="JO91" s="1">
        <v>2.13</v>
      </c>
      <c r="JP91" s="1">
        <v>1.6</v>
      </c>
      <c r="JQ91" s="1">
        <v>1.68</v>
      </c>
      <c r="JR91" s="1">
        <v>2.46</v>
      </c>
      <c r="JS91" s="1">
        <v>3.29</v>
      </c>
      <c r="JT91" s="1">
        <v>4.17</v>
      </c>
      <c r="JU91" s="1">
        <v>4.47</v>
      </c>
      <c r="JV91" s="1">
        <v>5.73</v>
      </c>
      <c r="JW91" s="1">
        <v>6.19</v>
      </c>
      <c r="JX91" s="1">
        <v>5.63</v>
      </c>
      <c r="JY91" s="1">
        <v>2.75</v>
      </c>
      <c r="JZ91" s="1">
        <v>1.4</v>
      </c>
      <c r="KA91" s="1">
        <v>1.61</v>
      </c>
      <c r="KB91" s="1">
        <v>1.93</v>
      </c>
      <c r="KC91" s="1">
        <v>1.81</v>
      </c>
      <c r="KD91" s="1">
        <v>2.52</v>
      </c>
      <c r="KE91" s="1"/>
      <c r="KF91" s="1"/>
      <c r="KG91" s="1">
        <v>3.78</v>
      </c>
      <c r="KH91" s="1">
        <v>2.41</v>
      </c>
      <c r="KI91" s="1">
        <v>0.8</v>
      </c>
      <c r="KJ91" s="1">
        <v>0.7</v>
      </c>
      <c r="KK91" s="1">
        <v>0.94</v>
      </c>
      <c r="KL91" s="1">
        <v>0.63</v>
      </c>
      <c r="KM91" s="1">
        <v>1.08</v>
      </c>
      <c r="KN91" s="1">
        <v>1.38</v>
      </c>
      <c r="KO91" s="1">
        <v>1.9</v>
      </c>
      <c r="KP91" s="1">
        <v>1.31</v>
      </c>
      <c r="KQ91" s="1">
        <v>2.5499999999999998</v>
      </c>
      <c r="KR91" s="1">
        <v>3.13</v>
      </c>
      <c r="KS91" s="1">
        <v>3.03</v>
      </c>
      <c r="KT91" s="1">
        <v>2.92</v>
      </c>
      <c r="KU91" s="1">
        <v>1.96</v>
      </c>
      <c r="KV91" s="1">
        <v>1.38</v>
      </c>
      <c r="KW91" s="1">
        <v>1.42</v>
      </c>
      <c r="KX91" s="1">
        <v>0.88</v>
      </c>
      <c r="KY91" s="1">
        <v>1.21</v>
      </c>
      <c r="KZ91" s="1">
        <v>1.9</v>
      </c>
      <c r="LA91" s="1">
        <v>2.3199999999999998</v>
      </c>
      <c r="LB91" s="1">
        <v>2.67</v>
      </c>
      <c r="LC91" s="1">
        <v>3.15</v>
      </c>
      <c r="LD91" s="1">
        <v>3.21</v>
      </c>
      <c r="LE91" s="1">
        <v>3.98</v>
      </c>
      <c r="LF91" s="1">
        <v>4.7699999999999996</v>
      </c>
      <c r="LG91" s="1">
        <v>2.2599999999999998</v>
      </c>
      <c r="LH91" s="1">
        <v>2.5299999999999998</v>
      </c>
      <c r="LI91" s="1">
        <v>2.2599999999999998</v>
      </c>
      <c r="LJ91" s="1">
        <v>1.1800000000000002</v>
      </c>
      <c r="LK91" s="1">
        <v>1.6099999999999999</v>
      </c>
      <c r="LL91" s="1">
        <v>2.31</v>
      </c>
      <c r="LM91" s="1">
        <v>2.75</v>
      </c>
      <c r="LN91" s="1">
        <v>3.2399999999999998</v>
      </c>
      <c r="LO91" s="1">
        <v>4.33</v>
      </c>
      <c r="LP91" s="1">
        <v>4.43</v>
      </c>
      <c r="LQ91" s="1">
        <v>4.18</v>
      </c>
      <c r="LR91" s="1">
        <v>5.72</v>
      </c>
      <c r="LS91" s="1">
        <v>5.14</v>
      </c>
      <c r="LT91" s="1">
        <v>3.6799999999999997</v>
      </c>
      <c r="LU91" s="1">
        <v>3.13</v>
      </c>
      <c r="LV91" s="1">
        <v>4.21</v>
      </c>
      <c r="LW91" s="1">
        <v>4.67</v>
      </c>
      <c r="LX91" s="1">
        <v>2.9</v>
      </c>
      <c r="LY91" s="1">
        <v>2.9</v>
      </c>
      <c r="LZ91" s="1">
        <v>5.71</v>
      </c>
      <c r="MA91" s="1">
        <v>6.16</v>
      </c>
      <c r="MB91" s="1">
        <v>7.53</v>
      </c>
      <c r="MC91" s="1">
        <v>7.2299999999999995</v>
      </c>
      <c r="MD91" s="1">
        <v>7.1199999999999992</v>
      </c>
      <c r="ME91" s="1">
        <v>3.8</v>
      </c>
      <c r="MF91" s="1">
        <v>3</v>
      </c>
      <c r="MG91" s="1">
        <v>1.42</v>
      </c>
      <c r="MH91" s="1">
        <v>1.1800000000000002</v>
      </c>
      <c r="MI91" s="1">
        <v>1.7799999999999998</v>
      </c>
      <c r="MJ91" s="1">
        <v>2.1</v>
      </c>
      <c r="MK91" s="1">
        <v>2.9</v>
      </c>
      <c r="ML91" s="1">
        <v>3.58</v>
      </c>
      <c r="MM91" s="1">
        <v>4.25</v>
      </c>
      <c r="MN91" s="1">
        <v>4.03</v>
      </c>
      <c r="MO91" s="1">
        <v>4.3499999999999996</v>
      </c>
      <c r="MP91" s="1">
        <v>5.08</v>
      </c>
      <c r="MQ91" s="1">
        <v>3.9</v>
      </c>
      <c r="MR91" s="1">
        <v>2.48</v>
      </c>
      <c r="MS91" s="1">
        <v>2.25</v>
      </c>
      <c r="MT91">
        <v>3.29</v>
      </c>
      <c r="MU91">
        <v>1.6700000000000002</v>
      </c>
    </row>
    <row r="92" spans="1:359" ht="15.75" x14ac:dyDescent="0.25">
      <c r="A92" s="8" t="s">
        <v>0</v>
      </c>
      <c r="B92" s="39">
        <v>20533</v>
      </c>
      <c r="C92" s="39" t="s">
        <v>116</v>
      </c>
      <c r="D92" s="39" t="s">
        <v>136</v>
      </c>
      <c r="E92" s="39" t="s">
        <v>158</v>
      </c>
      <c r="F92" s="39" t="s">
        <v>28</v>
      </c>
      <c r="G92" s="39" t="s">
        <v>210</v>
      </c>
      <c r="H92" s="41">
        <v>43</v>
      </c>
      <c r="I92" s="39" t="s">
        <v>61</v>
      </c>
      <c r="J92" s="40">
        <v>57.222525000000005</v>
      </c>
      <c r="K92" s="39">
        <v>16.759053000000002</v>
      </c>
      <c r="L92" s="39">
        <v>80.701601999999994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>
        <v>2.33</v>
      </c>
      <c r="GZ92" s="1">
        <v>2.73</v>
      </c>
      <c r="HA92" s="1">
        <v>3.25</v>
      </c>
      <c r="HB92" s="1">
        <v>4.9000000000000004</v>
      </c>
      <c r="HC92" s="1">
        <v>4.34</v>
      </c>
      <c r="HD92" s="1">
        <v>1.69</v>
      </c>
      <c r="HE92" s="1">
        <v>1.55</v>
      </c>
      <c r="HF92" s="1">
        <v>1.53</v>
      </c>
      <c r="HG92" s="1">
        <v>1.47</v>
      </c>
      <c r="HH92" s="1">
        <v>1.66</v>
      </c>
      <c r="HI92" s="1">
        <v>1.85</v>
      </c>
      <c r="HJ92" s="1">
        <v>1.92</v>
      </c>
      <c r="HK92" s="1">
        <v>1.95</v>
      </c>
      <c r="HL92" s="1">
        <v>2.64</v>
      </c>
      <c r="HM92" s="1">
        <v>2.69</v>
      </c>
      <c r="HN92" s="1">
        <v>3.35</v>
      </c>
      <c r="HO92" s="1">
        <v>3.59</v>
      </c>
      <c r="HP92" s="1">
        <v>2.79</v>
      </c>
      <c r="HQ92" s="1">
        <v>2.89</v>
      </c>
      <c r="HR92" s="1">
        <v>1.51</v>
      </c>
      <c r="HS92" s="1">
        <v>2.29</v>
      </c>
      <c r="HT92" s="1">
        <v>2.67</v>
      </c>
      <c r="HU92" s="1">
        <v>1.81</v>
      </c>
      <c r="HV92" s="1">
        <v>2.29</v>
      </c>
      <c r="HW92" s="1">
        <v>3.39</v>
      </c>
      <c r="HX92" s="1">
        <v>4.57</v>
      </c>
      <c r="HY92" s="1">
        <v>5.29</v>
      </c>
      <c r="HZ92" s="1">
        <v>3.62</v>
      </c>
      <c r="IA92" s="1">
        <v>3.36</v>
      </c>
      <c r="IB92" s="1">
        <v>2.79</v>
      </c>
      <c r="IC92" s="1">
        <v>1.9</v>
      </c>
      <c r="ID92" s="1">
        <v>1.98</v>
      </c>
      <c r="IE92" s="1">
        <v>3.37</v>
      </c>
      <c r="IF92" s="1">
        <v>3.94</v>
      </c>
      <c r="IG92" s="1">
        <v>4.66</v>
      </c>
      <c r="IH92" s="1">
        <v>5.38</v>
      </c>
      <c r="II92" s="1">
        <v>6.12</v>
      </c>
      <c r="IJ92" s="1">
        <v>6.96</v>
      </c>
      <c r="IK92" s="1">
        <v>7.21</v>
      </c>
      <c r="IL92" s="1">
        <v>6.44</v>
      </c>
      <c r="IM92" s="1">
        <v>4.6399999999999997</v>
      </c>
      <c r="IN92" s="1">
        <v>5.69</v>
      </c>
      <c r="IO92" s="1">
        <v>5.63</v>
      </c>
      <c r="IP92" s="1">
        <v>3.24</v>
      </c>
      <c r="IQ92" s="1">
        <v>4.3600000000000003</v>
      </c>
      <c r="IR92" s="1">
        <v>5.03</v>
      </c>
      <c r="IS92" s="1">
        <v>5.99</v>
      </c>
      <c r="IT92" s="1">
        <v>6.53</v>
      </c>
      <c r="IU92" s="1">
        <v>7.39</v>
      </c>
      <c r="IV92" s="1">
        <v>8.1300000000000008</v>
      </c>
      <c r="IW92" s="1">
        <v>8.51</v>
      </c>
      <c r="IX92" s="1">
        <v>8.5500000000000007</v>
      </c>
      <c r="IY92" s="1">
        <v>7.38</v>
      </c>
      <c r="IZ92" s="1">
        <v>6.93</v>
      </c>
      <c r="JA92" s="1">
        <v>5.93</v>
      </c>
      <c r="JB92" s="1">
        <v>5.27</v>
      </c>
      <c r="JC92" s="1">
        <v>6.24</v>
      </c>
      <c r="JD92" s="1">
        <v>7.33</v>
      </c>
      <c r="JE92" s="1">
        <v>8.3699999999999992</v>
      </c>
      <c r="JF92" s="1">
        <v>8.9499999999999993</v>
      </c>
      <c r="JG92" s="1">
        <v>9.6</v>
      </c>
      <c r="JH92" s="1">
        <v>10.28</v>
      </c>
      <c r="JI92" s="1">
        <v>10.91</v>
      </c>
      <c r="JJ92" s="1">
        <v>11.15</v>
      </c>
      <c r="JK92" s="1">
        <v>8.18</v>
      </c>
      <c r="JL92" s="1">
        <v>3.15</v>
      </c>
      <c r="JM92" s="1">
        <v>4.04</v>
      </c>
      <c r="JN92" s="1">
        <v>4.6100000000000003</v>
      </c>
      <c r="JO92" s="1">
        <v>3.96</v>
      </c>
      <c r="JP92" s="1">
        <v>3.36</v>
      </c>
      <c r="JQ92" s="1">
        <v>3.81</v>
      </c>
      <c r="JR92" s="1">
        <v>4.55</v>
      </c>
      <c r="JS92" s="1">
        <v>5.75</v>
      </c>
      <c r="JT92" s="1">
        <v>6.93</v>
      </c>
      <c r="JU92" s="1">
        <v>7.85</v>
      </c>
      <c r="JV92" s="1">
        <v>8.75</v>
      </c>
      <c r="JW92" s="1">
        <v>9.08</v>
      </c>
      <c r="JX92" s="1">
        <v>8.1999999999999993</v>
      </c>
      <c r="JY92" s="1">
        <v>3.31</v>
      </c>
      <c r="JZ92" s="1">
        <v>1.48</v>
      </c>
      <c r="KA92" s="1">
        <v>2.17</v>
      </c>
      <c r="KB92" s="1">
        <v>2.5</v>
      </c>
      <c r="KC92" s="1">
        <v>2.98</v>
      </c>
      <c r="KD92" s="1">
        <v>3.93</v>
      </c>
      <c r="KE92" s="1"/>
      <c r="KF92" s="1"/>
      <c r="KG92" s="1">
        <v>8.77</v>
      </c>
      <c r="KH92" s="1">
        <v>9.4600000000000009</v>
      </c>
      <c r="KI92" s="1">
        <v>4</v>
      </c>
      <c r="KJ92" s="1">
        <v>1.65</v>
      </c>
      <c r="KK92" s="1">
        <v>2.0499999999999998</v>
      </c>
      <c r="KL92" s="1">
        <v>1.06</v>
      </c>
      <c r="KM92" s="1">
        <v>1.8</v>
      </c>
      <c r="KN92" s="1">
        <v>1.35</v>
      </c>
      <c r="KO92" s="1">
        <v>1.72</v>
      </c>
      <c r="KP92" s="1">
        <v>2.63</v>
      </c>
      <c r="KQ92" s="1">
        <v>3.23</v>
      </c>
      <c r="KR92" s="1">
        <v>4.0199999999999996</v>
      </c>
      <c r="KS92" s="1">
        <v>3.94</v>
      </c>
      <c r="KT92" s="1">
        <v>3.47</v>
      </c>
      <c r="KU92" s="1">
        <v>3.55</v>
      </c>
      <c r="KV92" s="1">
        <v>3.14</v>
      </c>
      <c r="KW92" s="1">
        <v>2.91</v>
      </c>
      <c r="KX92" s="1">
        <v>1.81</v>
      </c>
      <c r="KY92" s="1">
        <v>1.24</v>
      </c>
      <c r="KZ92" s="1">
        <v>2.81</v>
      </c>
      <c r="LA92" s="1">
        <v>3.01</v>
      </c>
      <c r="LB92" s="1">
        <v>3.24</v>
      </c>
      <c r="LC92" s="1">
        <v>3.63</v>
      </c>
      <c r="LD92" s="1">
        <v>4.8899999999999997</v>
      </c>
      <c r="LE92" s="1">
        <v>6.8</v>
      </c>
      <c r="LF92" s="1">
        <v>7.47</v>
      </c>
      <c r="LG92" s="1">
        <v>5.85</v>
      </c>
      <c r="LH92" s="1">
        <v>4.95</v>
      </c>
      <c r="LI92" s="1">
        <v>3.4200000000000004</v>
      </c>
      <c r="LJ92" s="1">
        <v>2.71</v>
      </c>
      <c r="LK92" s="1">
        <v>1.7999999999999998</v>
      </c>
      <c r="LL92" s="1">
        <v>1.6099999999999999</v>
      </c>
      <c r="LM92" s="1">
        <v>2.1</v>
      </c>
      <c r="LN92" s="1">
        <v>2.38</v>
      </c>
      <c r="LO92" s="1">
        <v>3.18</v>
      </c>
      <c r="LP92" s="1">
        <v>4.6999999999999993</v>
      </c>
      <c r="LQ92" s="1">
        <v>5.04</v>
      </c>
      <c r="LR92" s="1">
        <v>6.25</v>
      </c>
      <c r="LS92" s="1">
        <v>1.96</v>
      </c>
      <c r="LT92" s="1">
        <v>1.8400000000000003</v>
      </c>
      <c r="LU92" s="1">
        <v>1.9300000000000002</v>
      </c>
      <c r="LV92" s="1">
        <v>2.21</v>
      </c>
      <c r="LW92" s="1">
        <v>2.81</v>
      </c>
      <c r="LX92" s="1">
        <v>2.68</v>
      </c>
      <c r="LY92" s="1">
        <v>2.72</v>
      </c>
      <c r="LZ92" s="1">
        <v>2.12</v>
      </c>
      <c r="MA92" s="1">
        <v>2.75</v>
      </c>
      <c r="MB92" s="1">
        <v>3.5000000000000004</v>
      </c>
      <c r="MC92" s="1">
        <v>4.3099999999999996</v>
      </c>
      <c r="MD92" s="1">
        <v>5.089999999999999</v>
      </c>
      <c r="ME92" s="1">
        <v>3.15</v>
      </c>
      <c r="MF92" s="1">
        <v>2.99</v>
      </c>
      <c r="MG92" s="1">
        <v>1.2999999999999998</v>
      </c>
      <c r="MH92" s="1">
        <v>1.35</v>
      </c>
      <c r="MI92" s="1">
        <v>2.21</v>
      </c>
      <c r="MJ92" s="1">
        <v>2.75</v>
      </c>
      <c r="MK92" s="1">
        <v>2.95</v>
      </c>
      <c r="ML92" s="1">
        <v>4</v>
      </c>
      <c r="MM92" s="1">
        <v>4.2</v>
      </c>
      <c r="MN92" s="1">
        <v>5.9499999999999993</v>
      </c>
      <c r="MO92" s="1">
        <v>3.4499999999999997</v>
      </c>
      <c r="MP92" s="1">
        <v>6.1499999999999995</v>
      </c>
      <c r="MQ92" s="1">
        <v>3.8</v>
      </c>
      <c r="MR92" s="1">
        <v>2.9499999999999997</v>
      </c>
      <c r="MS92" s="1">
        <v>2.95</v>
      </c>
      <c r="MT92">
        <v>11.28</v>
      </c>
      <c r="MU92">
        <v>11.15</v>
      </c>
    </row>
    <row r="93" spans="1:359" ht="15.75" x14ac:dyDescent="0.25">
      <c r="A93" s="8" t="s">
        <v>0</v>
      </c>
      <c r="B93" s="39">
        <v>20487</v>
      </c>
      <c r="C93" s="39" t="s">
        <v>116</v>
      </c>
      <c r="D93" s="39" t="s">
        <v>120</v>
      </c>
      <c r="E93" s="39" t="s">
        <v>159</v>
      </c>
      <c r="F93" s="39" t="s">
        <v>28</v>
      </c>
      <c r="G93" s="39" t="s">
        <v>210</v>
      </c>
      <c r="H93" s="41">
        <v>30</v>
      </c>
      <c r="I93" s="39" t="s">
        <v>119</v>
      </c>
      <c r="J93" s="40">
        <v>32.616199999999999</v>
      </c>
      <c r="K93" s="39">
        <v>16.659549299999998</v>
      </c>
      <c r="L93" s="39">
        <v>80.2788994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>
        <v>1</v>
      </c>
      <c r="GZ93" s="1">
        <v>1.43</v>
      </c>
      <c r="HA93" s="1">
        <v>2.1</v>
      </c>
      <c r="HB93" s="1">
        <v>1.95</v>
      </c>
      <c r="HC93" s="1">
        <v>1.49</v>
      </c>
      <c r="HD93" s="1">
        <v>0.53</v>
      </c>
      <c r="HE93" s="1">
        <v>0.51</v>
      </c>
      <c r="HF93" s="1">
        <v>0.34</v>
      </c>
      <c r="HG93" s="1">
        <v>0.5</v>
      </c>
      <c r="HH93" s="1">
        <v>1.05</v>
      </c>
      <c r="HI93" s="1">
        <v>0.93</v>
      </c>
      <c r="HJ93" s="1">
        <v>1.1000000000000001</v>
      </c>
      <c r="HK93" s="1">
        <v>1.07</v>
      </c>
      <c r="HL93" s="1">
        <v>1.49</v>
      </c>
      <c r="HM93" s="1">
        <v>1.77</v>
      </c>
      <c r="HN93" s="1">
        <v>2.2799999999999998</v>
      </c>
      <c r="HO93" s="1">
        <v>2.1</v>
      </c>
      <c r="HP93" s="1">
        <v>1.82</v>
      </c>
      <c r="HQ93" s="1">
        <v>0.53</v>
      </c>
      <c r="HR93" s="1">
        <v>0.67</v>
      </c>
      <c r="HS93" s="1">
        <v>0.62</v>
      </c>
      <c r="HT93" s="1">
        <v>0.65</v>
      </c>
      <c r="HU93" s="1">
        <v>2.11</v>
      </c>
      <c r="HV93" s="1">
        <v>0.87</v>
      </c>
      <c r="HW93" s="1">
        <v>1.17</v>
      </c>
      <c r="HX93" s="1">
        <v>1.27</v>
      </c>
      <c r="HY93" s="1">
        <v>1.6</v>
      </c>
      <c r="HZ93" s="1">
        <v>0.5</v>
      </c>
      <c r="IA93" s="1"/>
      <c r="IB93" s="1">
        <v>0.32</v>
      </c>
      <c r="IC93" s="1">
        <v>0.4</v>
      </c>
      <c r="ID93" s="1">
        <v>0.56000000000000005</v>
      </c>
      <c r="IE93" s="1">
        <v>0.65</v>
      </c>
      <c r="IF93" s="1">
        <v>0.92</v>
      </c>
      <c r="IG93" s="1">
        <v>1.06</v>
      </c>
      <c r="IH93" s="1">
        <v>1.33</v>
      </c>
      <c r="II93" s="1">
        <v>1.38</v>
      </c>
      <c r="IJ93" s="1">
        <v>2.0699999999999998</v>
      </c>
      <c r="IK93" s="1">
        <v>2.38</v>
      </c>
      <c r="IL93" s="1">
        <v>2.4500000000000002</v>
      </c>
      <c r="IM93" s="1">
        <v>1.75</v>
      </c>
      <c r="IN93" s="1">
        <v>0.47</v>
      </c>
      <c r="IO93" s="1">
        <v>0.38</v>
      </c>
      <c r="IP93" s="1">
        <v>0.56000000000000005</v>
      </c>
      <c r="IQ93" s="1">
        <v>0.69</v>
      </c>
      <c r="IR93" s="1">
        <v>0.81</v>
      </c>
      <c r="IS93" s="1">
        <v>0.85</v>
      </c>
      <c r="IT93" s="1">
        <v>1.0900000000000001</v>
      </c>
      <c r="IU93" s="1">
        <v>1.48</v>
      </c>
      <c r="IV93" s="1">
        <v>1.92</v>
      </c>
      <c r="IW93" s="1">
        <v>2.33</v>
      </c>
      <c r="IX93" s="1">
        <v>1.55</v>
      </c>
      <c r="IY93" s="1">
        <v>0.46</v>
      </c>
      <c r="IZ93" s="1">
        <v>0.4</v>
      </c>
      <c r="JA93" s="1">
        <v>0.4</v>
      </c>
      <c r="JB93" s="1">
        <v>0.45</v>
      </c>
      <c r="JC93" s="1">
        <v>0.72</v>
      </c>
      <c r="JD93" s="1">
        <v>0.88</v>
      </c>
      <c r="JE93" s="1">
        <v>0.96</v>
      </c>
      <c r="JF93" s="1">
        <v>1.1499999999999999</v>
      </c>
      <c r="JG93" s="1">
        <v>1.05</v>
      </c>
      <c r="JH93" s="1">
        <v>1.04</v>
      </c>
      <c r="JI93" s="1">
        <v>1.68</v>
      </c>
      <c r="JJ93" s="1">
        <v>1.69</v>
      </c>
      <c r="JK93" s="1">
        <v>0.96</v>
      </c>
      <c r="JL93" s="1">
        <v>0.59</v>
      </c>
      <c r="JM93" s="1">
        <v>0.73</v>
      </c>
      <c r="JN93" s="1">
        <v>0.81</v>
      </c>
      <c r="JO93" s="1">
        <v>0.92</v>
      </c>
      <c r="JP93" s="1">
        <v>0.74</v>
      </c>
      <c r="JQ93" s="1">
        <v>0.77</v>
      </c>
      <c r="JR93" s="1">
        <v>0.98</v>
      </c>
      <c r="JS93" s="1">
        <v>1.23</v>
      </c>
      <c r="JT93" s="1">
        <v>1.45</v>
      </c>
      <c r="JU93" s="1">
        <v>1.5</v>
      </c>
      <c r="JV93" s="1">
        <v>1.53</v>
      </c>
      <c r="JW93" s="1">
        <v>1.43</v>
      </c>
      <c r="JX93" s="1">
        <v>0.78</v>
      </c>
      <c r="JY93" s="1">
        <v>0.53</v>
      </c>
      <c r="JZ93" s="1">
        <v>0.56999999999999995</v>
      </c>
      <c r="KA93" s="1">
        <v>0.7</v>
      </c>
      <c r="KB93" s="1">
        <v>1.1100000000000001</v>
      </c>
      <c r="KC93" s="1">
        <v>0.93</v>
      </c>
      <c r="KD93" s="1">
        <v>1.1100000000000001</v>
      </c>
      <c r="KE93" s="1"/>
      <c r="KF93" s="1"/>
      <c r="KG93" s="1">
        <v>1.43</v>
      </c>
      <c r="KH93" s="1">
        <v>1.26</v>
      </c>
      <c r="KI93" s="1">
        <v>0.46</v>
      </c>
      <c r="KJ93" s="1">
        <v>0.53</v>
      </c>
      <c r="KK93" s="1">
        <v>0.33</v>
      </c>
      <c r="KL93" s="1">
        <v>0.43</v>
      </c>
      <c r="KM93" s="1">
        <v>0.66</v>
      </c>
      <c r="KN93" s="1">
        <v>0.73</v>
      </c>
      <c r="KO93" s="1">
        <v>0.71</v>
      </c>
      <c r="KP93" s="1">
        <v>0.71</v>
      </c>
      <c r="KQ93" s="1">
        <v>0.9</v>
      </c>
      <c r="KR93" s="1">
        <v>1.58</v>
      </c>
      <c r="KS93" s="1">
        <v>1.1299999999999999</v>
      </c>
      <c r="KT93" s="1">
        <v>0.97</v>
      </c>
      <c r="KU93" s="1">
        <v>0.8</v>
      </c>
      <c r="KV93" s="1">
        <v>0.43</v>
      </c>
      <c r="KW93" s="1">
        <v>0.65</v>
      </c>
      <c r="KX93" s="1">
        <v>0.71</v>
      </c>
      <c r="KY93" s="1">
        <v>0.73</v>
      </c>
      <c r="KZ93" s="1">
        <v>1.23</v>
      </c>
      <c r="LA93" s="1">
        <v>0.93</v>
      </c>
      <c r="LB93" s="1">
        <v>1.05</v>
      </c>
      <c r="LC93" s="1">
        <v>1.18</v>
      </c>
      <c r="LD93" s="1">
        <v>1.35</v>
      </c>
      <c r="LE93" s="1">
        <v>1.39</v>
      </c>
      <c r="LF93" s="1">
        <v>1.65</v>
      </c>
      <c r="LG93" s="1">
        <v>0.53000000000000014</v>
      </c>
      <c r="LH93" s="1">
        <v>1.38</v>
      </c>
      <c r="LI93" s="1">
        <v>1.6</v>
      </c>
      <c r="LJ93" s="1">
        <v>1.0300000000000002</v>
      </c>
      <c r="LK93" s="1">
        <v>1.06</v>
      </c>
      <c r="LL93" s="1">
        <v>1.29</v>
      </c>
      <c r="LM93" s="1">
        <v>1.4300000000000002</v>
      </c>
      <c r="LN93" s="1">
        <v>1.5900000000000003</v>
      </c>
      <c r="LO93" s="1">
        <v>1.73</v>
      </c>
      <c r="LP93" s="1">
        <v>2.08</v>
      </c>
      <c r="LQ93" s="1">
        <v>1.83</v>
      </c>
      <c r="LR93" s="1">
        <v>2.27</v>
      </c>
      <c r="LS93" s="1">
        <v>1.4500000000000002</v>
      </c>
      <c r="LT93" s="1">
        <v>1.37</v>
      </c>
      <c r="LU93" s="1">
        <v>1.2200000000000002</v>
      </c>
      <c r="LV93" s="1">
        <v>1.1600000000000001</v>
      </c>
      <c r="LW93" s="1">
        <v>0.97000000000000008</v>
      </c>
      <c r="LX93" s="1">
        <v>0.44000000000000006</v>
      </c>
      <c r="LY93" s="1">
        <v>1</v>
      </c>
      <c r="LZ93" s="1">
        <v>1.2600000000000002</v>
      </c>
      <c r="MA93" s="1">
        <v>1.69</v>
      </c>
      <c r="MB93" s="1">
        <v>2.62</v>
      </c>
      <c r="MC93" s="1">
        <v>2.1</v>
      </c>
      <c r="MD93" s="1">
        <v>1.9700000000000006</v>
      </c>
      <c r="ME93" s="1">
        <v>0.93</v>
      </c>
      <c r="MF93" s="1">
        <v>2.23</v>
      </c>
      <c r="MG93" s="1">
        <v>1.0100000000000002</v>
      </c>
      <c r="MH93" s="1">
        <v>0.93</v>
      </c>
      <c r="MI93" s="1">
        <v>1.23</v>
      </c>
      <c r="MJ93" s="1">
        <v>1.4300000000000002</v>
      </c>
      <c r="MK93" s="1">
        <v>1.5300000000000002</v>
      </c>
      <c r="ML93" s="1">
        <v>1.73</v>
      </c>
      <c r="MM93" s="1">
        <v>1.8</v>
      </c>
      <c r="MN93" s="1">
        <v>2.13</v>
      </c>
      <c r="MO93" s="1">
        <v>1.8400000000000003</v>
      </c>
      <c r="MP93" s="1">
        <v>1.6300000000000003</v>
      </c>
      <c r="MQ93" s="1">
        <v>1.4300000000000002</v>
      </c>
      <c r="MR93" s="1">
        <v>0.83</v>
      </c>
      <c r="MS93" s="1">
        <v>2.1300000000000003</v>
      </c>
      <c r="MT93">
        <v>5.77</v>
      </c>
      <c r="MU93">
        <v>4.92</v>
      </c>
    </row>
    <row r="94" spans="1:359" ht="15.75" x14ac:dyDescent="0.25">
      <c r="A94" s="8" t="s">
        <v>0</v>
      </c>
      <c r="B94" s="39">
        <v>20571</v>
      </c>
      <c r="C94" s="39" t="s">
        <v>116</v>
      </c>
      <c r="D94" s="39" t="s">
        <v>160</v>
      </c>
      <c r="E94" s="39" t="s">
        <v>161</v>
      </c>
      <c r="F94" s="39" t="s">
        <v>46</v>
      </c>
      <c r="G94" s="39" t="s">
        <v>210</v>
      </c>
      <c r="H94" s="41">
        <v>40</v>
      </c>
      <c r="I94" s="39" t="s">
        <v>2</v>
      </c>
      <c r="J94" s="40">
        <v>17.665766666666698</v>
      </c>
      <c r="K94" s="39">
        <v>16.513542399999999</v>
      </c>
      <c r="L94" s="39">
        <v>80.697161199999996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>
        <v>12.52</v>
      </c>
      <c r="GZ94" s="1">
        <v>12.85</v>
      </c>
      <c r="HA94" s="1">
        <v>12.78</v>
      </c>
      <c r="HB94" s="1">
        <v>12.93</v>
      </c>
      <c r="HC94" s="1">
        <v>13.25</v>
      </c>
      <c r="HD94" s="1">
        <v>13.16</v>
      </c>
      <c r="HE94" s="1">
        <v>13.17</v>
      </c>
      <c r="HF94" s="1">
        <v>12.3</v>
      </c>
      <c r="HG94" s="1">
        <v>10.65</v>
      </c>
      <c r="HH94" s="1">
        <v>10.67</v>
      </c>
      <c r="HI94" s="1">
        <v>11.45</v>
      </c>
      <c r="HJ94" s="1">
        <v>11.9</v>
      </c>
      <c r="HK94" s="1">
        <v>12.58</v>
      </c>
      <c r="HL94" s="1">
        <v>12.84</v>
      </c>
      <c r="HM94" s="1">
        <v>12.54</v>
      </c>
      <c r="HN94" s="1">
        <v>12.91</v>
      </c>
      <c r="HO94" s="1">
        <v>13.14</v>
      </c>
      <c r="HP94" s="1">
        <v>13.46</v>
      </c>
      <c r="HQ94" s="1">
        <v>13.44</v>
      </c>
      <c r="HR94" s="1">
        <v>13.59</v>
      </c>
      <c r="HS94" s="1">
        <v>13.41</v>
      </c>
      <c r="HT94" s="1">
        <v>13.24</v>
      </c>
      <c r="HU94" s="1">
        <v>13.69</v>
      </c>
      <c r="HV94" s="1">
        <v>13.89</v>
      </c>
      <c r="HW94" s="1">
        <v>14.39</v>
      </c>
      <c r="HX94" s="1">
        <v>14.51</v>
      </c>
      <c r="HY94" s="1">
        <v>14.59</v>
      </c>
      <c r="HZ94" s="1">
        <v>14.65</v>
      </c>
      <c r="IA94" s="1">
        <v>14.73</v>
      </c>
      <c r="IB94" s="1">
        <v>14.82</v>
      </c>
      <c r="IC94" s="1">
        <v>14.92</v>
      </c>
      <c r="ID94" s="1">
        <v>15.27</v>
      </c>
      <c r="IE94" s="1">
        <v>15.34</v>
      </c>
      <c r="IF94" s="1">
        <v>15.49</v>
      </c>
      <c r="IG94" s="1">
        <v>15.75</v>
      </c>
      <c r="IH94" s="1">
        <v>16.2</v>
      </c>
      <c r="II94" s="1">
        <v>16.559999999999999</v>
      </c>
      <c r="IJ94" s="1">
        <v>16.96</v>
      </c>
      <c r="IK94" s="1">
        <v>17.09</v>
      </c>
      <c r="IL94" s="1">
        <v>17.18</v>
      </c>
      <c r="IM94" s="1">
        <v>17.22</v>
      </c>
      <c r="IN94" s="1">
        <v>17.5</v>
      </c>
      <c r="IO94" s="1">
        <v>17.64</v>
      </c>
      <c r="IP94" s="1">
        <v>17.79</v>
      </c>
      <c r="IQ94" s="1">
        <v>17.88</v>
      </c>
      <c r="IR94" s="1">
        <v>18.149999999999999</v>
      </c>
      <c r="IS94" s="1">
        <v>18.260000000000002</v>
      </c>
      <c r="IT94" s="1">
        <v>18.7</v>
      </c>
      <c r="IU94" s="1">
        <v>19.07</v>
      </c>
      <c r="IV94" s="1">
        <v>19.03</v>
      </c>
      <c r="IW94" s="1">
        <v>19.3</v>
      </c>
      <c r="IX94" s="1">
        <v>19.309999999999999</v>
      </c>
      <c r="IY94" s="1">
        <v>19.329999999999998</v>
      </c>
      <c r="IZ94" s="1">
        <v>19.34</v>
      </c>
      <c r="JA94" s="1">
        <v>19.510000000000002</v>
      </c>
      <c r="JB94" s="1">
        <v>19.53</v>
      </c>
      <c r="JC94" s="1">
        <v>19.78</v>
      </c>
      <c r="JD94" s="1">
        <v>19.989999999999998</v>
      </c>
      <c r="JE94" s="1">
        <v>20.07</v>
      </c>
      <c r="JF94" s="1">
        <v>20.38</v>
      </c>
      <c r="JG94" s="1">
        <v>20.51</v>
      </c>
      <c r="JH94" s="1">
        <v>20.68</v>
      </c>
      <c r="JI94" s="1">
        <v>20.9</v>
      </c>
      <c r="JJ94" s="1">
        <v>20.89</v>
      </c>
      <c r="JK94" s="1">
        <v>21.22</v>
      </c>
      <c r="JL94" s="1">
        <v>21.11</v>
      </c>
      <c r="JM94" s="1">
        <v>21.22</v>
      </c>
      <c r="JN94" s="1">
        <v>21.41</v>
      </c>
      <c r="JO94" s="1">
        <v>21.29</v>
      </c>
      <c r="JP94" s="1">
        <v>21.37</v>
      </c>
      <c r="JQ94" s="1">
        <v>21.21</v>
      </c>
      <c r="JR94" s="1">
        <v>22.58</v>
      </c>
      <c r="JS94" s="1">
        <v>21.76</v>
      </c>
      <c r="JT94" s="1">
        <v>21.85</v>
      </c>
      <c r="JU94" s="1">
        <v>22.01</v>
      </c>
      <c r="JV94" s="1">
        <v>22.2</v>
      </c>
      <c r="JW94" s="1">
        <v>22.24</v>
      </c>
      <c r="JX94" s="1">
        <v>22.33</v>
      </c>
      <c r="JY94" s="1">
        <v>22.06</v>
      </c>
      <c r="JZ94" s="1">
        <v>21.81</v>
      </c>
      <c r="KA94" s="1">
        <v>21.84</v>
      </c>
      <c r="KB94" s="1">
        <v>22.06</v>
      </c>
      <c r="KC94" s="1">
        <v>22.13</v>
      </c>
      <c r="KD94" s="1">
        <v>22.17</v>
      </c>
      <c r="KE94" s="1"/>
      <c r="KF94" s="1"/>
      <c r="KG94" s="1">
        <v>23.15</v>
      </c>
      <c r="KH94" s="1">
        <v>21.39</v>
      </c>
      <c r="KI94" s="1">
        <v>20.71</v>
      </c>
      <c r="KJ94" s="1">
        <v>22.54</v>
      </c>
      <c r="KK94" s="1">
        <v>22.31</v>
      </c>
      <c r="KL94" s="1">
        <v>21.96</v>
      </c>
      <c r="KM94" s="1">
        <v>21.42</v>
      </c>
      <c r="KN94" s="1">
        <v>21.32</v>
      </c>
      <c r="KO94" s="1">
        <v>21.26</v>
      </c>
      <c r="KP94" s="1">
        <v>21.58</v>
      </c>
      <c r="KQ94" s="1">
        <v>22</v>
      </c>
      <c r="KR94" s="1">
        <v>22.5</v>
      </c>
      <c r="KS94" s="1">
        <v>22.69</v>
      </c>
      <c r="KT94" s="1">
        <v>22.11</v>
      </c>
      <c r="KU94" s="1">
        <v>21.39</v>
      </c>
      <c r="KV94" s="1">
        <v>20.61</v>
      </c>
      <c r="KW94" s="1">
        <v>21.89</v>
      </c>
      <c r="KX94" s="1">
        <v>21.67</v>
      </c>
      <c r="KY94" s="1">
        <v>21.54</v>
      </c>
      <c r="KZ94" s="1">
        <v>21.29</v>
      </c>
      <c r="LA94" s="1">
        <v>22.42</v>
      </c>
      <c r="LB94" s="1">
        <v>22.92</v>
      </c>
      <c r="LC94" s="1">
        <v>23.03</v>
      </c>
      <c r="LD94" s="1">
        <v>20.84</v>
      </c>
      <c r="LE94" s="1">
        <v>22.01</v>
      </c>
      <c r="LF94" s="1">
        <v>21.96</v>
      </c>
      <c r="LG94" s="1">
        <v>22.06</v>
      </c>
      <c r="LH94" s="1">
        <v>22.769999999999996</v>
      </c>
      <c r="LI94" s="1">
        <v>22.66</v>
      </c>
      <c r="LJ94" s="1">
        <v>22.639999999999997</v>
      </c>
      <c r="LK94" s="1">
        <v>22.439999999999998</v>
      </c>
      <c r="LL94" s="1">
        <v>22.5</v>
      </c>
      <c r="LM94" s="1">
        <v>22.66</v>
      </c>
      <c r="LN94" s="1">
        <v>22.819999999999997</v>
      </c>
      <c r="LO94" s="1">
        <v>23.15</v>
      </c>
      <c r="LP94" s="1">
        <v>23.099999999999998</v>
      </c>
      <c r="LQ94" s="1">
        <v>23.24</v>
      </c>
      <c r="LR94" s="1">
        <v>24.05</v>
      </c>
      <c r="LS94" s="1">
        <v>23.59</v>
      </c>
      <c r="LT94" s="1">
        <v>23.439999999999998</v>
      </c>
      <c r="LU94" s="1">
        <v>23.639999999999997</v>
      </c>
      <c r="LV94" s="1">
        <v>23.939999999999998</v>
      </c>
      <c r="LW94" s="1">
        <v>23.619999999999997</v>
      </c>
      <c r="LX94" s="1">
        <v>23.15</v>
      </c>
      <c r="LY94" s="1">
        <v>23.79</v>
      </c>
      <c r="LZ94" s="1">
        <v>23.689999999999998</v>
      </c>
      <c r="MA94" s="1">
        <v>24.139999999999997</v>
      </c>
      <c r="MB94" s="1">
        <v>25.49</v>
      </c>
      <c r="MC94" s="1">
        <v>25.09</v>
      </c>
      <c r="MD94" s="1">
        <v>24.48</v>
      </c>
      <c r="ME94" s="1">
        <v>24.439999999999998</v>
      </c>
      <c r="MF94" s="1">
        <v>24.689999999999998</v>
      </c>
      <c r="MG94" s="1">
        <v>23.94</v>
      </c>
      <c r="MH94" s="1">
        <v>23.84</v>
      </c>
      <c r="MI94" s="1">
        <v>23.639999999999997</v>
      </c>
      <c r="MJ94" s="1">
        <v>23.74</v>
      </c>
      <c r="MK94" s="1">
        <v>24.04</v>
      </c>
      <c r="ML94" s="1">
        <v>24.8</v>
      </c>
      <c r="MM94" s="1">
        <v>24.139999999999997</v>
      </c>
      <c r="MN94" s="1">
        <v>24.5</v>
      </c>
      <c r="MO94" s="1">
        <v>23.54</v>
      </c>
      <c r="MP94" s="1">
        <v>24.74</v>
      </c>
      <c r="MQ94" s="1">
        <v>25.04</v>
      </c>
      <c r="MR94" s="1">
        <v>25.139999999999997</v>
      </c>
      <c r="MS94" s="1">
        <v>25.04</v>
      </c>
      <c r="MT94">
        <v>0.53</v>
      </c>
      <c r="MU94">
        <v>0.99</v>
      </c>
    </row>
    <row r="95" spans="1:359" ht="15.75" x14ac:dyDescent="0.25">
      <c r="A95" s="8" t="s">
        <v>0</v>
      </c>
      <c r="B95" s="39">
        <v>20494</v>
      </c>
      <c r="C95" s="39" t="s">
        <v>116</v>
      </c>
      <c r="D95" s="39" t="s">
        <v>121</v>
      </c>
      <c r="E95" s="39" t="s">
        <v>121</v>
      </c>
      <c r="F95" s="39" t="s">
        <v>46</v>
      </c>
      <c r="G95" s="39" t="s">
        <v>210</v>
      </c>
      <c r="H95" s="41">
        <v>35</v>
      </c>
      <c r="I95" s="39" t="s">
        <v>61</v>
      </c>
      <c r="J95" s="40">
        <v>41.424850000000006</v>
      </c>
      <c r="K95" s="39">
        <v>16.685804600000001</v>
      </c>
      <c r="L95" s="39">
        <v>80.580780000000004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>
        <v>4.58</v>
      </c>
      <c r="GZ95" s="1">
        <v>5.21</v>
      </c>
      <c r="HA95" s="1">
        <v>5.46</v>
      </c>
      <c r="HB95" s="1">
        <v>5.54</v>
      </c>
      <c r="HC95" s="1">
        <v>4.9400000000000004</v>
      </c>
      <c r="HD95" s="1">
        <v>3.91</v>
      </c>
      <c r="HE95" s="1">
        <v>3.04</v>
      </c>
      <c r="HF95" s="1">
        <v>1.99</v>
      </c>
      <c r="HG95" s="1">
        <v>1.6</v>
      </c>
      <c r="HH95" s="1">
        <v>1.31</v>
      </c>
      <c r="HI95" s="1">
        <v>1.61</v>
      </c>
      <c r="HJ95" s="1">
        <v>2.72</v>
      </c>
      <c r="HK95" s="1">
        <v>2.9</v>
      </c>
      <c r="HL95" s="1">
        <v>4.3</v>
      </c>
      <c r="HM95" s="1">
        <v>4.09</v>
      </c>
      <c r="HN95" s="1">
        <v>4.55</v>
      </c>
      <c r="HO95" s="1">
        <v>4.13</v>
      </c>
      <c r="HP95" s="1">
        <v>4.2</v>
      </c>
      <c r="HQ95" s="1">
        <v>4.0999999999999996</v>
      </c>
      <c r="HR95" s="1">
        <v>4.1500000000000004</v>
      </c>
      <c r="HS95" s="1">
        <v>4.55</v>
      </c>
      <c r="HT95" s="1">
        <v>5.45</v>
      </c>
      <c r="HU95" s="1">
        <v>5.55</v>
      </c>
      <c r="HV95" s="1">
        <v>6.7</v>
      </c>
      <c r="HW95" s="1">
        <v>7.3</v>
      </c>
      <c r="HX95" s="1">
        <v>7.55</v>
      </c>
      <c r="HY95" s="1">
        <v>7.6</v>
      </c>
      <c r="HZ95" s="1">
        <v>6.34</v>
      </c>
      <c r="IA95" s="1">
        <v>5.73</v>
      </c>
      <c r="IB95" s="1">
        <v>4.7</v>
      </c>
      <c r="IC95" s="1">
        <v>3.48</v>
      </c>
      <c r="ID95" s="1">
        <v>3.55</v>
      </c>
      <c r="IE95" s="1">
        <v>5.0599999999999996</v>
      </c>
      <c r="IF95" s="1">
        <v>5.93</v>
      </c>
      <c r="IG95" s="1">
        <v>6.55</v>
      </c>
      <c r="IH95" s="1">
        <v>8.27</v>
      </c>
      <c r="II95" s="1">
        <v>9.06</v>
      </c>
      <c r="IJ95" s="1">
        <v>10.83</v>
      </c>
      <c r="IK95" s="1">
        <v>9.6999999999999993</v>
      </c>
      <c r="IL95" s="1">
        <v>8.94</v>
      </c>
      <c r="IM95" s="1">
        <v>8.31</v>
      </c>
      <c r="IN95" s="1">
        <v>8.8000000000000007</v>
      </c>
      <c r="IO95" s="1">
        <v>8.7100000000000009</v>
      </c>
      <c r="IP95" s="1">
        <v>8.09</v>
      </c>
      <c r="IQ95" s="1">
        <v>9.41</v>
      </c>
      <c r="IR95" s="1">
        <v>11.58</v>
      </c>
      <c r="IS95" s="1">
        <v>12.38</v>
      </c>
      <c r="IT95" s="1">
        <v>14.4</v>
      </c>
      <c r="IU95" s="1">
        <v>14.48</v>
      </c>
      <c r="IV95" s="1">
        <v>14.95</v>
      </c>
      <c r="IW95" s="1">
        <v>14.14</v>
      </c>
      <c r="IX95" s="1">
        <v>11.14</v>
      </c>
      <c r="IY95" s="1">
        <v>10.52</v>
      </c>
      <c r="IZ95" s="1">
        <v>8.64</v>
      </c>
      <c r="JA95" s="1">
        <v>7.63</v>
      </c>
      <c r="JB95" s="1">
        <v>6.97</v>
      </c>
      <c r="JC95" s="1">
        <v>10.029999999999999</v>
      </c>
      <c r="JD95" s="1">
        <v>11.27</v>
      </c>
      <c r="JE95" s="1">
        <v>10.3</v>
      </c>
      <c r="JF95" s="1">
        <v>11.45</v>
      </c>
      <c r="JG95" s="1">
        <v>12.67</v>
      </c>
      <c r="JH95" s="1">
        <v>12.79</v>
      </c>
      <c r="JI95" s="1">
        <v>11.48</v>
      </c>
      <c r="JJ95" s="1">
        <v>9.7200000000000006</v>
      </c>
      <c r="JK95" s="1">
        <v>9.1199999999999992</v>
      </c>
      <c r="JL95" s="1">
        <v>6.96</v>
      </c>
      <c r="JM95" s="1">
        <v>6.67</v>
      </c>
      <c r="JN95" s="1">
        <v>8.32</v>
      </c>
      <c r="JO95" s="1">
        <v>11.46</v>
      </c>
      <c r="JP95" s="1">
        <v>9.56</v>
      </c>
      <c r="JQ95" s="1">
        <v>11.02</v>
      </c>
      <c r="JR95" s="1">
        <v>10.9</v>
      </c>
      <c r="JS95" s="1">
        <v>11.89</v>
      </c>
      <c r="JT95" s="1">
        <v>12.57</v>
      </c>
      <c r="JU95" s="1">
        <v>11.3</v>
      </c>
      <c r="JV95" s="1">
        <v>10.96</v>
      </c>
      <c r="JW95" s="1">
        <v>10.32</v>
      </c>
      <c r="JX95" s="1">
        <v>10.08</v>
      </c>
      <c r="JY95" s="1">
        <v>8.26</v>
      </c>
      <c r="JZ95" s="1">
        <v>7.15</v>
      </c>
      <c r="KA95" s="1">
        <v>7.27</v>
      </c>
      <c r="KB95" s="1">
        <v>9.26</v>
      </c>
      <c r="KC95" s="1">
        <v>9.76</v>
      </c>
      <c r="KD95" s="1">
        <v>10.19</v>
      </c>
      <c r="KE95" s="1"/>
      <c r="KF95" s="1"/>
      <c r="KG95" s="1">
        <v>11.91</v>
      </c>
      <c r="KH95" s="1">
        <v>10.95</v>
      </c>
      <c r="KI95" s="1">
        <v>7.84</v>
      </c>
      <c r="KJ95" s="1">
        <v>6.33</v>
      </c>
      <c r="KK95" s="1">
        <v>6.09</v>
      </c>
      <c r="KL95" s="1">
        <v>2.29</v>
      </c>
      <c r="KM95" s="1">
        <v>4.0599999999999996</v>
      </c>
      <c r="KN95" s="1">
        <v>3.37</v>
      </c>
      <c r="KO95" s="1">
        <v>2.85</v>
      </c>
      <c r="KP95" s="1">
        <v>3.36</v>
      </c>
      <c r="KQ95" s="1">
        <v>5.3</v>
      </c>
      <c r="KR95" s="1">
        <v>5.78</v>
      </c>
      <c r="KS95" s="1">
        <v>5.61</v>
      </c>
      <c r="KT95" s="1">
        <v>5.22</v>
      </c>
      <c r="KU95" s="1">
        <v>4.67</v>
      </c>
      <c r="KV95" s="1">
        <v>1.81</v>
      </c>
      <c r="KW95" s="1">
        <v>1.6</v>
      </c>
      <c r="KX95" s="1">
        <v>5.05</v>
      </c>
      <c r="KY95" s="1">
        <v>1.97</v>
      </c>
      <c r="KZ95" s="1">
        <v>2.96</v>
      </c>
      <c r="LA95" s="1">
        <v>2.36</v>
      </c>
      <c r="LB95" s="1">
        <v>3.44</v>
      </c>
      <c r="LC95" s="1">
        <v>4.53</v>
      </c>
      <c r="LD95" s="1">
        <v>4.75</v>
      </c>
      <c r="LE95" s="1">
        <v>5.57</v>
      </c>
      <c r="LF95" s="1">
        <v>5.74</v>
      </c>
      <c r="LG95" s="1">
        <v>3.25</v>
      </c>
      <c r="LH95" s="1">
        <v>2.2800000000000002</v>
      </c>
      <c r="LI95" s="1">
        <v>2.91</v>
      </c>
      <c r="LJ95" s="1">
        <v>1.0100000000000002</v>
      </c>
      <c r="LK95" s="1">
        <v>2.2600000000000002</v>
      </c>
      <c r="LL95" s="1">
        <v>2.4300000000000002</v>
      </c>
      <c r="LM95" s="1">
        <v>4.34</v>
      </c>
      <c r="LN95" s="1">
        <v>5.34</v>
      </c>
      <c r="LO95" s="1">
        <v>5.26</v>
      </c>
      <c r="LP95" s="1">
        <v>6.36</v>
      </c>
      <c r="LQ95" s="1">
        <v>6.5600000000000005</v>
      </c>
      <c r="LR95" s="1">
        <v>7.21</v>
      </c>
      <c r="LS95" s="1">
        <v>6.17</v>
      </c>
      <c r="LT95" s="1">
        <v>5.44</v>
      </c>
      <c r="LU95" s="1">
        <v>5.44</v>
      </c>
      <c r="LV95" s="1">
        <v>6.1400000000000006</v>
      </c>
      <c r="LW95" s="1">
        <v>6.83</v>
      </c>
      <c r="LX95" s="1">
        <v>6.6099999999999994</v>
      </c>
      <c r="LY95" s="1">
        <v>6.76</v>
      </c>
      <c r="LZ95" s="1">
        <v>7.51</v>
      </c>
      <c r="MA95" s="1">
        <v>8.33</v>
      </c>
      <c r="MB95" s="1">
        <v>10.01</v>
      </c>
      <c r="MC95" s="1">
        <v>9.34</v>
      </c>
      <c r="MD95" s="1">
        <v>9.8500000000000014</v>
      </c>
      <c r="ME95" s="1">
        <v>8.01</v>
      </c>
      <c r="MF95" s="1">
        <v>6.5600000000000005</v>
      </c>
      <c r="MG95" s="1">
        <v>1.07</v>
      </c>
      <c r="MH95" s="1">
        <v>1.1099999999999999</v>
      </c>
      <c r="MI95" s="1">
        <v>2.41</v>
      </c>
      <c r="MJ95" s="1">
        <v>3.01</v>
      </c>
      <c r="MK95" s="1">
        <v>4.01</v>
      </c>
      <c r="ML95" s="1">
        <v>4.71</v>
      </c>
      <c r="MM95" s="1">
        <v>6.21</v>
      </c>
      <c r="MN95" s="1">
        <v>6.61</v>
      </c>
      <c r="MO95" s="1">
        <v>6.33</v>
      </c>
      <c r="MP95" s="1">
        <v>5.51</v>
      </c>
      <c r="MQ95" s="1">
        <v>5.8100000000000005</v>
      </c>
      <c r="MR95" s="1">
        <v>2.6100000000000003</v>
      </c>
      <c r="MS95" s="1">
        <v>0.76000000000000012</v>
      </c>
      <c r="MT95">
        <v>2.69</v>
      </c>
      <c r="MU95">
        <v>2.62</v>
      </c>
    </row>
    <row r="96" spans="1:359" ht="15.75" x14ac:dyDescent="0.25">
      <c r="A96" s="8" t="s">
        <v>0</v>
      </c>
      <c r="B96" s="39">
        <v>20513</v>
      </c>
      <c r="C96" s="39" t="s">
        <v>116</v>
      </c>
      <c r="D96" s="39" t="s">
        <v>127</v>
      </c>
      <c r="E96" s="39" t="s">
        <v>162</v>
      </c>
      <c r="F96" s="39" t="s">
        <v>28</v>
      </c>
      <c r="G96" s="39" t="s">
        <v>210</v>
      </c>
      <c r="H96" s="41">
        <v>26</v>
      </c>
      <c r="I96" s="39" t="s">
        <v>119</v>
      </c>
      <c r="J96" s="40">
        <v>80.934550000000002</v>
      </c>
      <c r="K96" s="39">
        <v>16.966901700000001</v>
      </c>
      <c r="L96" s="39">
        <v>80.117684800000006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>
        <v>2.2599999999999998</v>
      </c>
      <c r="GZ96" s="1">
        <v>2.99</v>
      </c>
      <c r="HA96" s="1">
        <v>3.65</v>
      </c>
      <c r="HB96" s="1">
        <v>4.0199999999999996</v>
      </c>
      <c r="HC96" s="1">
        <v>2.88</v>
      </c>
      <c r="HD96" s="1">
        <v>1.98</v>
      </c>
      <c r="HE96" s="1">
        <v>1.78</v>
      </c>
      <c r="HF96" s="1">
        <v>0.81</v>
      </c>
      <c r="HG96" s="1">
        <v>1.31</v>
      </c>
      <c r="HH96" s="1">
        <v>2.0499999999999998</v>
      </c>
      <c r="HI96" s="1">
        <v>1.87</v>
      </c>
      <c r="HJ96" s="1">
        <v>2.09</v>
      </c>
      <c r="HK96" s="1">
        <v>1.01</v>
      </c>
      <c r="HL96" s="1">
        <v>2.6</v>
      </c>
      <c r="HM96" s="1">
        <v>3</v>
      </c>
      <c r="HN96" s="1">
        <v>3.63</v>
      </c>
      <c r="HO96" s="1">
        <v>3.79</v>
      </c>
      <c r="HP96" s="1">
        <v>3.67</v>
      </c>
      <c r="HQ96" s="1">
        <v>2.7</v>
      </c>
      <c r="HR96" s="1">
        <v>1.6</v>
      </c>
      <c r="HS96" s="1">
        <v>1.93</v>
      </c>
      <c r="HT96" s="1">
        <v>1.95</v>
      </c>
      <c r="HU96" s="1">
        <v>2.11</v>
      </c>
      <c r="HV96" s="1">
        <v>2.14</v>
      </c>
      <c r="HW96" s="1">
        <v>2.35</v>
      </c>
      <c r="HX96" s="1">
        <v>2.76</v>
      </c>
      <c r="HY96" s="1">
        <v>3.1</v>
      </c>
      <c r="HZ96" s="1">
        <v>1.4</v>
      </c>
      <c r="IA96" s="1">
        <v>2.7</v>
      </c>
      <c r="IB96" s="1">
        <v>2.5499999999999998</v>
      </c>
      <c r="IC96" s="1">
        <v>1.1499999999999999</v>
      </c>
      <c r="ID96" s="1">
        <v>1.24</v>
      </c>
      <c r="IE96" s="1">
        <v>2.56</v>
      </c>
      <c r="IF96" s="1">
        <v>2.88</v>
      </c>
      <c r="IG96" s="1">
        <v>3.23</v>
      </c>
      <c r="IH96" s="1">
        <v>3.66</v>
      </c>
      <c r="II96" s="1">
        <v>3.92</v>
      </c>
      <c r="IJ96" s="1">
        <v>4.41</v>
      </c>
      <c r="IK96" s="1">
        <v>4.58</v>
      </c>
      <c r="IL96" s="1">
        <v>4.67</v>
      </c>
      <c r="IM96" s="1">
        <v>4.3</v>
      </c>
      <c r="IN96" s="1">
        <v>4.33</v>
      </c>
      <c r="IO96" s="1">
        <v>2.36</v>
      </c>
      <c r="IP96" s="1">
        <v>1.19</v>
      </c>
      <c r="IQ96" s="1">
        <v>2.23</v>
      </c>
      <c r="IR96" s="1">
        <v>2.5299999999999998</v>
      </c>
      <c r="IS96" s="1">
        <v>2.79</v>
      </c>
      <c r="IT96" s="1">
        <v>3.08</v>
      </c>
      <c r="IU96" s="1">
        <v>3.4</v>
      </c>
      <c r="IV96" s="1">
        <v>3.9</v>
      </c>
      <c r="IW96" s="1">
        <v>4.3</v>
      </c>
      <c r="IX96" s="1">
        <v>4</v>
      </c>
      <c r="IY96" s="1">
        <v>2.54</v>
      </c>
      <c r="IZ96" s="1">
        <v>1.21</v>
      </c>
      <c r="JA96" s="1">
        <v>1.28</v>
      </c>
      <c r="JB96" s="1">
        <v>1.1100000000000001</v>
      </c>
      <c r="JC96" s="1">
        <v>2.1</v>
      </c>
      <c r="JD96" s="1">
        <v>2.58</v>
      </c>
      <c r="JE96" s="1">
        <v>2.69</v>
      </c>
      <c r="JF96" s="1">
        <v>2.79</v>
      </c>
      <c r="JG96" s="1">
        <v>3.13</v>
      </c>
      <c r="JH96" s="1">
        <v>3.19</v>
      </c>
      <c r="JI96" s="1">
        <v>3.76</v>
      </c>
      <c r="JJ96" s="1">
        <v>3.91</v>
      </c>
      <c r="JK96" s="1">
        <v>2.65</v>
      </c>
      <c r="JL96" s="1">
        <v>1.29</v>
      </c>
      <c r="JM96" s="1">
        <v>1.23</v>
      </c>
      <c r="JN96" s="1">
        <v>1.72</v>
      </c>
      <c r="JO96" s="1">
        <v>1.97</v>
      </c>
      <c r="JP96" s="1">
        <v>1.94</v>
      </c>
      <c r="JQ96" s="1">
        <v>2.04</v>
      </c>
      <c r="JR96" s="1">
        <v>2.34</v>
      </c>
      <c r="JS96" s="1">
        <v>2.65</v>
      </c>
      <c r="JT96" s="1">
        <v>3.12</v>
      </c>
      <c r="JU96" s="1">
        <v>3.68</v>
      </c>
      <c r="JV96" s="1">
        <v>4.22</v>
      </c>
      <c r="JW96" s="1">
        <v>4.51</v>
      </c>
      <c r="JX96" s="1">
        <v>3.09</v>
      </c>
      <c r="JY96" s="1">
        <v>1.99</v>
      </c>
      <c r="JZ96" s="1">
        <v>1.05</v>
      </c>
      <c r="KA96" s="1">
        <v>1.5</v>
      </c>
      <c r="KB96" s="1">
        <v>1.61</v>
      </c>
      <c r="KC96" s="1">
        <v>1.83</v>
      </c>
      <c r="KD96" s="1">
        <v>2.4900000000000002</v>
      </c>
      <c r="KE96" s="1"/>
      <c r="KF96" s="1"/>
      <c r="KG96" s="1">
        <v>3.23</v>
      </c>
      <c r="KH96" s="1">
        <v>3.09</v>
      </c>
      <c r="KI96" s="1">
        <v>1.1399999999999999</v>
      </c>
      <c r="KJ96" s="1">
        <v>0.65</v>
      </c>
      <c r="KK96" s="1">
        <v>1.2</v>
      </c>
      <c r="KL96" s="1">
        <v>0.4</v>
      </c>
      <c r="KM96" s="1">
        <v>1.33</v>
      </c>
      <c r="KN96" s="1">
        <v>1.45</v>
      </c>
      <c r="KO96" s="1">
        <v>1.69</v>
      </c>
      <c r="KP96" s="1">
        <v>1.7</v>
      </c>
      <c r="KQ96" s="1">
        <v>2.04</v>
      </c>
      <c r="KR96" s="1">
        <v>2.5099999999999998</v>
      </c>
      <c r="KS96" s="1">
        <v>2.98</v>
      </c>
      <c r="KT96" s="1">
        <v>3.1</v>
      </c>
      <c r="KU96" s="1">
        <v>2.0299999999999998</v>
      </c>
      <c r="KV96" s="1">
        <v>1.31</v>
      </c>
      <c r="KW96" s="1">
        <v>1.47</v>
      </c>
      <c r="KX96" s="1">
        <v>1.35</v>
      </c>
      <c r="KY96" s="1">
        <v>1.66</v>
      </c>
      <c r="KZ96" s="1">
        <v>2.13</v>
      </c>
      <c r="LA96" s="1">
        <v>1.85</v>
      </c>
      <c r="LB96" s="1">
        <v>1.92</v>
      </c>
      <c r="LC96" s="1">
        <v>2.2799999999999998</v>
      </c>
      <c r="LD96" s="1">
        <v>2.48</v>
      </c>
      <c r="LE96" s="1">
        <v>2.93</v>
      </c>
      <c r="LF96" s="1">
        <v>3.39</v>
      </c>
      <c r="LG96" s="1">
        <v>1.03</v>
      </c>
      <c r="LH96" s="1">
        <v>1.2299999999999998</v>
      </c>
      <c r="LI96" s="1">
        <v>1.57</v>
      </c>
      <c r="LJ96" s="1">
        <v>1.1499999999999999</v>
      </c>
      <c r="LK96" s="1">
        <v>1.3999999999999997</v>
      </c>
      <c r="LL96" s="1">
        <v>1.8</v>
      </c>
      <c r="LM96" s="1">
        <v>1.82</v>
      </c>
      <c r="LN96" s="1">
        <v>1.89</v>
      </c>
      <c r="LO96" s="1">
        <v>1.9999999999999998</v>
      </c>
      <c r="LP96" s="1">
        <v>2.5199999999999996</v>
      </c>
      <c r="LQ96" s="1">
        <v>2.6799999999999997</v>
      </c>
      <c r="LR96" s="1">
        <v>3.68</v>
      </c>
      <c r="LS96" s="1">
        <v>3.29</v>
      </c>
      <c r="LT96" s="1">
        <v>2.8499999999999996</v>
      </c>
      <c r="LU96" s="1">
        <v>1.47</v>
      </c>
      <c r="LV96" s="1">
        <v>1.7899999999999998</v>
      </c>
      <c r="LW96" s="1">
        <v>2.3899999999999997</v>
      </c>
      <c r="LX96" s="1">
        <v>1.7100000000000002</v>
      </c>
      <c r="LY96" s="1">
        <v>1.86</v>
      </c>
      <c r="LZ96" s="1">
        <v>2.4900000000000002</v>
      </c>
      <c r="MA96" s="1">
        <v>3.1399999999999997</v>
      </c>
      <c r="MB96" s="1">
        <v>3.58</v>
      </c>
      <c r="MC96" s="1">
        <v>3.9300000000000006</v>
      </c>
      <c r="MD96" s="1">
        <v>3.84</v>
      </c>
      <c r="ME96" s="1">
        <v>1.7499999999999998</v>
      </c>
      <c r="MF96" s="1">
        <v>1.4</v>
      </c>
      <c r="MG96" s="1">
        <v>0.67</v>
      </c>
      <c r="MH96" s="1">
        <v>1.1499999999999999</v>
      </c>
      <c r="MI96" s="1">
        <v>1.55</v>
      </c>
      <c r="MJ96" s="1">
        <v>1.95</v>
      </c>
      <c r="MK96" s="1">
        <v>1.95</v>
      </c>
      <c r="ML96" s="1">
        <v>1.6500000000000001</v>
      </c>
      <c r="MM96" s="1">
        <v>2.1500000000000004</v>
      </c>
      <c r="MN96" s="1">
        <v>2.6500000000000004</v>
      </c>
      <c r="MO96" s="1">
        <v>2.9000000000000004</v>
      </c>
      <c r="MP96" s="1">
        <v>2.75</v>
      </c>
      <c r="MQ96" s="1">
        <v>1.8499999999999996</v>
      </c>
      <c r="MR96" s="1">
        <v>0.64999999999999991</v>
      </c>
      <c r="MS96" s="1">
        <v>1.3</v>
      </c>
      <c r="MT96">
        <v>10.57</v>
      </c>
      <c r="MU96">
        <v>11.99</v>
      </c>
    </row>
    <row r="97" spans="1:359" ht="15.75" x14ac:dyDescent="0.25">
      <c r="A97" s="8" t="s">
        <v>0</v>
      </c>
      <c r="B97" s="39">
        <v>20574</v>
      </c>
      <c r="C97" s="39" t="s">
        <v>116</v>
      </c>
      <c r="D97" s="39" t="s">
        <v>160</v>
      </c>
      <c r="E97" s="39" t="s">
        <v>163</v>
      </c>
      <c r="F97" s="39" t="s">
        <v>164</v>
      </c>
      <c r="G97" s="39" t="s">
        <v>210</v>
      </c>
      <c r="H97" s="41">
        <v>28</v>
      </c>
      <c r="I97" s="39" t="s">
        <v>2</v>
      </c>
      <c r="J97" s="40">
        <v>21.696400000000001</v>
      </c>
      <c r="K97" s="39">
        <v>16.539238000000001</v>
      </c>
      <c r="L97" s="39">
        <v>80.583786000000003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>
        <v>4.79</v>
      </c>
      <c r="GZ97" s="1">
        <v>4.92</v>
      </c>
      <c r="HA97" s="1">
        <v>5.0199999999999996</v>
      </c>
      <c r="HB97" s="1">
        <v>5.45</v>
      </c>
      <c r="HC97" s="1">
        <v>5.1100000000000003</v>
      </c>
      <c r="HD97" s="1">
        <v>4.59</v>
      </c>
      <c r="HE97" s="1">
        <v>4.74</v>
      </c>
      <c r="HF97" s="1">
        <v>3.57</v>
      </c>
      <c r="HG97" s="1">
        <v>4.12</v>
      </c>
      <c r="HH97" s="1">
        <v>4.17</v>
      </c>
      <c r="HI97" s="1">
        <v>4.51</v>
      </c>
      <c r="HJ97" s="1">
        <v>4.6399999999999997</v>
      </c>
      <c r="HK97" s="1">
        <v>4.7300000000000004</v>
      </c>
      <c r="HL97" s="1">
        <v>4.6399999999999997</v>
      </c>
      <c r="HM97" s="1">
        <v>4.71</v>
      </c>
      <c r="HN97" s="1">
        <v>4.92</v>
      </c>
      <c r="HO97" s="1">
        <v>5.04</v>
      </c>
      <c r="HP97" s="1">
        <v>4.96</v>
      </c>
      <c r="HQ97" s="1">
        <v>5.04</v>
      </c>
      <c r="HR97" s="1">
        <v>4.96</v>
      </c>
      <c r="HS97" s="1">
        <v>4.91</v>
      </c>
      <c r="HT97" s="1">
        <v>4.96</v>
      </c>
      <c r="HU97" s="1">
        <v>4.9800000000000004</v>
      </c>
      <c r="HV97" s="1">
        <v>5.03</v>
      </c>
      <c r="HW97" s="1">
        <v>5.0599999999999996</v>
      </c>
      <c r="HX97" s="1">
        <v>5.19</v>
      </c>
      <c r="HY97" s="1">
        <v>5.26</v>
      </c>
      <c r="HZ97" s="1">
        <v>5.39</v>
      </c>
      <c r="IA97" s="1">
        <v>6.02</v>
      </c>
      <c r="IB97" s="1">
        <v>3.46</v>
      </c>
      <c r="IC97" s="1">
        <v>7.74</v>
      </c>
      <c r="ID97" s="1">
        <v>7.8</v>
      </c>
      <c r="IE97" s="1">
        <v>7.99</v>
      </c>
      <c r="IF97" s="1">
        <v>8.0399999999999991</v>
      </c>
      <c r="IG97" s="1">
        <v>8.19</v>
      </c>
      <c r="IH97" s="1">
        <v>9.42</v>
      </c>
      <c r="II97" s="1">
        <v>9.82</v>
      </c>
      <c r="IJ97" s="1">
        <v>10.38</v>
      </c>
      <c r="IK97" s="1">
        <v>10.17</v>
      </c>
      <c r="IL97" s="1">
        <v>10.26</v>
      </c>
      <c r="IM97" s="1">
        <v>9.92</v>
      </c>
      <c r="IN97" s="1">
        <v>9.5299999999999994</v>
      </c>
      <c r="IO97" s="1">
        <v>8.81</v>
      </c>
      <c r="IP97" s="1">
        <v>8.1199999999999992</v>
      </c>
      <c r="IQ97" s="1">
        <v>8.2799999999999994</v>
      </c>
      <c r="IR97" s="1">
        <v>8.3800000000000008</v>
      </c>
      <c r="IS97" s="1">
        <v>8.5299999999999994</v>
      </c>
      <c r="IT97" s="1">
        <v>9.0399999999999991</v>
      </c>
      <c r="IU97" s="1">
        <v>9.6999999999999993</v>
      </c>
      <c r="IV97" s="1">
        <v>10.26</v>
      </c>
      <c r="IW97" s="1">
        <v>10.37</v>
      </c>
      <c r="IX97" s="1">
        <v>10.11</v>
      </c>
      <c r="IY97" s="1">
        <v>9.5</v>
      </c>
      <c r="IZ97" s="1">
        <v>9.4600000000000009</v>
      </c>
      <c r="JA97" s="1">
        <v>8.75</v>
      </c>
      <c r="JB97" s="1">
        <v>8.7899999999999991</v>
      </c>
      <c r="JC97" s="1">
        <v>8.99</v>
      </c>
      <c r="JD97" s="1">
        <v>9.0500000000000007</v>
      </c>
      <c r="JE97" s="1">
        <v>8.8699999999999992</v>
      </c>
      <c r="JF97" s="1">
        <v>9.32</v>
      </c>
      <c r="JG97" s="1">
        <v>7.92</v>
      </c>
      <c r="JH97" s="1">
        <v>7.99</v>
      </c>
      <c r="JI97" s="1">
        <v>8.06</v>
      </c>
      <c r="JJ97" s="1">
        <v>8.1</v>
      </c>
      <c r="JK97" s="1">
        <v>9.86</v>
      </c>
      <c r="JL97" s="1">
        <v>9.4499999999999993</v>
      </c>
      <c r="JM97" s="1">
        <v>9.4499999999999993</v>
      </c>
      <c r="JN97" s="1">
        <v>9.64</v>
      </c>
      <c r="JO97" s="1">
        <v>9.4499999999999993</v>
      </c>
      <c r="JP97" s="1">
        <v>8.33</v>
      </c>
      <c r="JQ97" s="1">
        <v>9.02</v>
      </c>
      <c r="JR97" s="1">
        <v>8.74</v>
      </c>
      <c r="JS97" s="1">
        <v>10.25</v>
      </c>
      <c r="JT97" s="1">
        <v>8.4700000000000006</v>
      </c>
      <c r="JU97" s="1">
        <v>11.6</v>
      </c>
      <c r="JV97" s="1">
        <v>11.62</v>
      </c>
      <c r="JW97" s="1">
        <v>11.2</v>
      </c>
      <c r="JX97" s="1">
        <v>10.85</v>
      </c>
      <c r="JY97" s="1">
        <v>10.220000000000001</v>
      </c>
      <c r="JZ97" s="1">
        <v>9.43</v>
      </c>
      <c r="KA97" s="1">
        <v>9.14</v>
      </c>
      <c r="KB97" s="1">
        <v>9.25</v>
      </c>
      <c r="KC97" s="1">
        <v>9.57</v>
      </c>
      <c r="KD97" s="1">
        <v>9.9600000000000009</v>
      </c>
      <c r="KE97" s="1"/>
      <c r="KF97" s="1"/>
      <c r="KG97" s="1">
        <v>10.38</v>
      </c>
      <c r="KH97" s="1">
        <v>10.199999999999999</v>
      </c>
      <c r="KI97" s="1">
        <v>9.1300000000000008</v>
      </c>
      <c r="KJ97" s="1">
        <v>8.86</v>
      </c>
      <c r="KK97" s="1">
        <v>7.56</v>
      </c>
      <c r="KL97" s="1">
        <v>6.34</v>
      </c>
      <c r="KM97" s="1">
        <v>7.07</v>
      </c>
      <c r="KN97" s="1">
        <v>7.11</v>
      </c>
      <c r="KO97" s="1">
        <v>9.98</v>
      </c>
      <c r="KP97" s="1">
        <v>10.02</v>
      </c>
      <c r="KQ97" s="1">
        <v>10.75</v>
      </c>
      <c r="KR97" s="1">
        <v>11.67</v>
      </c>
      <c r="KS97" s="1">
        <v>10.83</v>
      </c>
      <c r="KT97" s="1">
        <v>10.67</v>
      </c>
      <c r="KU97" s="1">
        <v>10.39</v>
      </c>
      <c r="KV97" s="1">
        <v>10.02</v>
      </c>
      <c r="KW97" s="1">
        <v>9.7799999999999994</v>
      </c>
      <c r="KX97" s="1">
        <v>9.07</v>
      </c>
      <c r="KY97" s="1">
        <v>8.92</v>
      </c>
      <c r="KZ97" s="1">
        <v>9.34</v>
      </c>
      <c r="LA97" s="1">
        <v>9.3699999999999992</v>
      </c>
      <c r="LB97" s="1">
        <v>9.9499999999999993</v>
      </c>
      <c r="LC97" s="1">
        <v>10.42</v>
      </c>
      <c r="LD97" s="1">
        <v>10.96</v>
      </c>
      <c r="LE97" s="1">
        <v>11.51</v>
      </c>
      <c r="LF97" s="1">
        <v>11.6</v>
      </c>
      <c r="LG97" s="1">
        <v>11.770000000000001</v>
      </c>
      <c r="LH97" s="1">
        <v>10.99</v>
      </c>
      <c r="LI97" s="1">
        <v>10.9</v>
      </c>
      <c r="LJ97" s="1">
        <v>9.82</v>
      </c>
      <c r="LK97" s="1">
        <v>10.010000000000002</v>
      </c>
      <c r="LL97" s="1">
        <v>10.48</v>
      </c>
      <c r="LM97" s="1">
        <v>10.98</v>
      </c>
      <c r="LN97" s="1">
        <v>11.48</v>
      </c>
      <c r="LO97" s="1">
        <v>11.870000000000001</v>
      </c>
      <c r="LP97" s="1">
        <v>14.42</v>
      </c>
      <c r="LQ97" s="1">
        <v>12.22</v>
      </c>
      <c r="LR97" s="1">
        <v>12.83</v>
      </c>
      <c r="LS97" s="1">
        <v>11.97</v>
      </c>
      <c r="LT97" s="1">
        <v>12.51</v>
      </c>
      <c r="LU97" s="1">
        <v>11.950000000000001</v>
      </c>
      <c r="LV97" s="1">
        <v>11.92</v>
      </c>
      <c r="LW97" s="1">
        <v>11.63</v>
      </c>
      <c r="LX97" s="1">
        <v>10.81</v>
      </c>
      <c r="LY97" s="1">
        <v>11.51</v>
      </c>
      <c r="LZ97" s="1">
        <v>12.64</v>
      </c>
      <c r="MA97" s="1">
        <v>13.200000000000001</v>
      </c>
      <c r="MB97" s="1">
        <v>13.610000000000001</v>
      </c>
      <c r="MC97" s="1">
        <v>13.09</v>
      </c>
      <c r="MD97" s="1">
        <v>13.06</v>
      </c>
      <c r="ME97" s="1">
        <v>12.82</v>
      </c>
      <c r="MF97" s="1">
        <v>13.07</v>
      </c>
      <c r="MG97" s="1">
        <v>11.01</v>
      </c>
      <c r="MH97" s="1">
        <v>11.22</v>
      </c>
      <c r="MI97" s="1">
        <v>10.92</v>
      </c>
      <c r="MJ97" s="1">
        <v>11.520000000000001</v>
      </c>
      <c r="MK97" s="1">
        <v>11.620000000000001</v>
      </c>
      <c r="ML97" s="1">
        <v>12.620000000000001</v>
      </c>
      <c r="MM97" s="1">
        <v>12.8</v>
      </c>
      <c r="MN97" s="1">
        <v>12.92</v>
      </c>
      <c r="MO97" s="1">
        <v>11.42</v>
      </c>
      <c r="MP97" s="1">
        <v>9.2200000000000006</v>
      </c>
      <c r="MQ97" s="1">
        <v>12.620000000000001</v>
      </c>
      <c r="MR97" s="1">
        <v>12.520000000000001</v>
      </c>
      <c r="MS97" s="1">
        <v>12</v>
      </c>
      <c r="MT97">
        <v>11.62</v>
      </c>
      <c r="MU97">
        <v>11.43</v>
      </c>
    </row>
    <row r="98" spans="1:359" ht="15.75" x14ac:dyDescent="0.25">
      <c r="A98" s="8" t="s">
        <v>0</v>
      </c>
      <c r="B98" s="39">
        <v>20497</v>
      </c>
      <c r="C98" s="39" t="s">
        <v>116</v>
      </c>
      <c r="D98" s="39" t="s">
        <v>125</v>
      </c>
      <c r="E98" s="39" t="s">
        <v>165</v>
      </c>
      <c r="F98" s="39" t="s">
        <v>4</v>
      </c>
      <c r="G98" s="39" t="s">
        <v>210</v>
      </c>
      <c r="H98" s="41">
        <v>54.3</v>
      </c>
      <c r="I98" s="39" t="s">
        <v>124</v>
      </c>
      <c r="J98" s="40">
        <v>62.450324999999992</v>
      </c>
      <c r="K98" s="39">
        <v>16.931509999999999</v>
      </c>
      <c r="L98" s="39">
        <v>80.484851000000006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>
        <v>2.2999999999999998</v>
      </c>
      <c r="GZ98" s="1">
        <v>2.82</v>
      </c>
      <c r="HA98" s="1">
        <v>4.32</v>
      </c>
      <c r="HB98" s="1">
        <v>4.9000000000000004</v>
      </c>
      <c r="HC98" s="1">
        <v>4.3099999999999996</v>
      </c>
      <c r="HD98" s="1">
        <v>1.99</v>
      </c>
      <c r="HE98" s="1">
        <v>1.58</v>
      </c>
      <c r="HF98" s="1">
        <v>1.28</v>
      </c>
      <c r="HG98" s="1">
        <v>0.93</v>
      </c>
      <c r="HH98" s="1">
        <v>1.6</v>
      </c>
      <c r="HI98" s="1">
        <v>1.63</v>
      </c>
      <c r="HJ98" s="1">
        <v>2.04</v>
      </c>
      <c r="HK98" s="1">
        <v>2.2999999999999998</v>
      </c>
      <c r="HL98" s="1">
        <v>3.17</v>
      </c>
      <c r="HM98" s="1">
        <v>3.75</v>
      </c>
      <c r="HN98" s="1">
        <v>4.29</v>
      </c>
      <c r="HO98" s="1">
        <v>4.62</v>
      </c>
      <c r="HP98" s="1">
        <v>4.5</v>
      </c>
      <c r="HQ98" s="1">
        <v>2.4700000000000002</v>
      </c>
      <c r="HR98" s="1">
        <v>2.82</v>
      </c>
      <c r="HS98" s="1">
        <v>2.82</v>
      </c>
      <c r="HT98" s="1">
        <v>3.62</v>
      </c>
      <c r="HU98" s="1">
        <v>3.81</v>
      </c>
      <c r="HV98" s="1">
        <v>4.47</v>
      </c>
      <c r="HW98" s="1">
        <v>5.0199999999999996</v>
      </c>
      <c r="HX98" s="1">
        <v>4.8600000000000003</v>
      </c>
      <c r="HY98" s="1"/>
      <c r="HZ98" s="1">
        <v>3.48</v>
      </c>
      <c r="IA98" s="1">
        <v>4.12</v>
      </c>
      <c r="IB98" s="1">
        <v>3.92</v>
      </c>
      <c r="IC98" s="1">
        <v>2.89</v>
      </c>
      <c r="ID98" s="1">
        <v>2.95</v>
      </c>
      <c r="IE98" s="1">
        <v>4.1900000000000004</v>
      </c>
      <c r="IF98" s="1">
        <v>4.29</v>
      </c>
      <c r="IG98" s="1">
        <v>5.47</v>
      </c>
      <c r="IH98" s="1">
        <v>5.63</v>
      </c>
      <c r="II98" s="1">
        <v>6.63</v>
      </c>
      <c r="IJ98" s="1">
        <v>7.57</v>
      </c>
      <c r="IK98" s="1">
        <v>7.88</v>
      </c>
      <c r="IL98" s="1">
        <v>6.29</v>
      </c>
      <c r="IM98" s="1">
        <v>3.67</v>
      </c>
      <c r="IN98" s="1">
        <v>3.26</v>
      </c>
      <c r="IO98" s="1">
        <v>2.52</v>
      </c>
      <c r="IP98" s="1">
        <v>1.74</v>
      </c>
      <c r="IQ98" s="1">
        <v>2.09</v>
      </c>
      <c r="IR98" s="1">
        <v>2.39</v>
      </c>
      <c r="IS98" s="1">
        <v>2.75</v>
      </c>
      <c r="IT98" s="1">
        <v>3.25</v>
      </c>
      <c r="IU98" s="1">
        <v>4</v>
      </c>
      <c r="IV98" s="1">
        <v>4.6500000000000004</v>
      </c>
      <c r="IW98" s="1">
        <v>4.74</v>
      </c>
      <c r="IX98" s="1">
        <v>3.81</v>
      </c>
      <c r="IY98" s="1">
        <v>1.95</v>
      </c>
      <c r="IZ98" s="1">
        <v>2.2400000000000002</v>
      </c>
      <c r="JA98" s="1">
        <v>2</v>
      </c>
      <c r="JB98" s="1">
        <v>2.33</v>
      </c>
      <c r="JC98" s="1">
        <v>2.94</v>
      </c>
      <c r="JD98" s="1">
        <v>3.57</v>
      </c>
      <c r="JE98" s="1">
        <v>3.89</v>
      </c>
      <c r="JF98" s="1">
        <v>4.2300000000000004</v>
      </c>
      <c r="JG98" s="1">
        <v>4.96</v>
      </c>
      <c r="JH98" s="1">
        <v>5.37</v>
      </c>
      <c r="JI98" s="1">
        <v>6.31</v>
      </c>
      <c r="JJ98" s="1">
        <v>6.68</v>
      </c>
      <c r="JK98" s="1">
        <v>3.98</v>
      </c>
      <c r="JL98" s="1">
        <v>1.73</v>
      </c>
      <c r="JM98" s="1">
        <v>2.35</v>
      </c>
      <c r="JN98" s="1">
        <v>2.46</v>
      </c>
      <c r="JO98" s="1">
        <v>2.9</v>
      </c>
      <c r="JP98" s="1">
        <v>2.36</v>
      </c>
      <c r="JQ98" s="1">
        <v>1.73</v>
      </c>
      <c r="JR98" s="1">
        <v>2.0299999999999998</v>
      </c>
      <c r="JS98" s="1">
        <v>2.54</v>
      </c>
      <c r="JT98" s="1">
        <v>3.03</v>
      </c>
      <c r="JU98" s="1">
        <v>3.34</v>
      </c>
      <c r="JV98" s="1">
        <v>3.66</v>
      </c>
      <c r="JW98" s="1">
        <v>3.62</v>
      </c>
      <c r="JX98" s="1">
        <v>2.57</v>
      </c>
      <c r="JY98" s="1">
        <v>1.4</v>
      </c>
      <c r="JZ98" s="1">
        <v>1.44</v>
      </c>
      <c r="KA98" s="1">
        <v>1.7</v>
      </c>
      <c r="KB98" s="1">
        <v>2.6</v>
      </c>
      <c r="KC98" s="1">
        <v>1.89</v>
      </c>
      <c r="KD98" s="1">
        <v>2.25</v>
      </c>
      <c r="KE98" s="1"/>
      <c r="KF98" s="1"/>
      <c r="KG98" s="1">
        <v>2.76</v>
      </c>
      <c r="KH98" s="1">
        <v>2.5099999999999998</v>
      </c>
      <c r="KI98" s="1">
        <v>1.26</v>
      </c>
      <c r="KJ98" s="1">
        <v>0.94</v>
      </c>
      <c r="KK98" s="1">
        <v>1.1599999999999999</v>
      </c>
      <c r="KL98" s="1">
        <v>0.86</v>
      </c>
      <c r="KM98" s="1">
        <v>2.31</v>
      </c>
      <c r="KN98" s="1">
        <v>1.57</v>
      </c>
      <c r="KO98" s="1">
        <v>1.56</v>
      </c>
      <c r="KP98" s="1">
        <v>2.1800000000000002</v>
      </c>
      <c r="KQ98" s="1">
        <v>2.38</v>
      </c>
      <c r="KR98" s="1">
        <v>2.63</v>
      </c>
      <c r="KS98" s="1">
        <v>2.86</v>
      </c>
      <c r="KT98" s="1">
        <v>2.88</v>
      </c>
      <c r="KU98" s="1">
        <v>2.0099999999999998</v>
      </c>
      <c r="KV98" s="1">
        <v>1.54</v>
      </c>
      <c r="KW98" s="1">
        <v>1.74</v>
      </c>
      <c r="KX98" s="1">
        <v>1.28</v>
      </c>
      <c r="KY98" s="1">
        <v>1.36</v>
      </c>
      <c r="KZ98" s="1">
        <v>1.86</v>
      </c>
      <c r="LA98" s="1">
        <v>2.06</v>
      </c>
      <c r="LB98" s="1">
        <v>2.5</v>
      </c>
      <c r="LC98" s="1">
        <v>2.85</v>
      </c>
      <c r="LD98" s="1">
        <v>1.74</v>
      </c>
      <c r="LE98" s="1">
        <v>3.15</v>
      </c>
      <c r="LF98" s="1">
        <v>3.61</v>
      </c>
      <c r="LG98" s="1">
        <v>1.31</v>
      </c>
      <c r="LH98" s="1">
        <v>0.88000000000000012</v>
      </c>
      <c r="LI98" s="1">
        <v>1.6</v>
      </c>
      <c r="LJ98" s="1">
        <v>3.06</v>
      </c>
      <c r="LK98" s="1">
        <v>2.1599999999999997</v>
      </c>
      <c r="LL98" s="1">
        <v>1.4</v>
      </c>
      <c r="LM98" s="1">
        <v>3.11</v>
      </c>
      <c r="LN98" s="1">
        <v>2.1599999999999997</v>
      </c>
      <c r="LO98" s="1">
        <v>2.56</v>
      </c>
      <c r="LP98" s="1">
        <v>2.88</v>
      </c>
      <c r="LQ98" s="1">
        <v>2.6799999999999997</v>
      </c>
      <c r="LR98" s="1">
        <v>3.59</v>
      </c>
      <c r="LS98" s="1">
        <v>1.1800000000000002</v>
      </c>
      <c r="LT98" s="1">
        <v>3.5799999999999996</v>
      </c>
      <c r="LU98" s="1">
        <v>3.48</v>
      </c>
      <c r="LV98" s="1">
        <v>3.4099999999999997</v>
      </c>
      <c r="LW98" s="1">
        <v>2.1</v>
      </c>
      <c r="LX98" s="1">
        <v>1.7000000000000002</v>
      </c>
      <c r="LY98" s="1">
        <v>1.7399999999999998</v>
      </c>
      <c r="LZ98" s="1">
        <v>3.6299999999999994</v>
      </c>
      <c r="MA98" s="1">
        <v>4.04</v>
      </c>
      <c r="MB98" s="1">
        <v>4.0600000000000005</v>
      </c>
      <c r="MC98" s="1">
        <v>3.7099999999999995</v>
      </c>
      <c r="MD98" s="1">
        <v>4.75</v>
      </c>
      <c r="ME98" s="1">
        <v>3.06</v>
      </c>
      <c r="MF98" s="1">
        <v>1.4499999999999997</v>
      </c>
      <c r="MG98" s="1">
        <v>0.45000000000000007</v>
      </c>
      <c r="MH98" s="1">
        <v>1.0099999999999998</v>
      </c>
      <c r="MI98" s="1">
        <v>3.86</v>
      </c>
      <c r="MJ98" s="1">
        <v>1.71</v>
      </c>
      <c r="MK98" s="1">
        <v>2.06</v>
      </c>
      <c r="ML98" s="1">
        <v>2.2599999999999998</v>
      </c>
      <c r="MM98" s="1">
        <v>2.06</v>
      </c>
      <c r="MN98" s="1">
        <v>3.4</v>
      </c>
      <c r="MO98" s="1">
        <v>3.02</v>
      </c>
      <c r="MP98" s="1">
        <v>2.36</v>
      </c>
      <c r="MQ98" s="1">
        <v>1.1599999999999997</v>
      </c>
      <c r="MR98" s="1">
        <v>0.96000000000000008</v>
      </c>
      <c r="MS98" s="1">
        <v>0.85</v>
      </c>
      <c r="MT98">
        <v>3.76</v>
      </c>
      <c r="MU98">
        <v>3.85</v>
      </c>
    </row>
    <row r="99" spans="1:359" ht="15.75" x14ac:dyDescent="0.25">
      <c r="A99" s="8" t="s">
        <v>0</v>
      </c>
      <c r="B99" s="39">
        <v>20572</v>
      </c>
      <c r="C99" s="39" t="s">
        <v>116</v>
      </c>
      <c r="D99" s="39" t="s">
        <v>160</v>
      </c>
      <c r="E99" s="39" t="s">
        <v>166</v>
      </c>
      <c r="F99" s="39" t="s">
        <v>46</v>
      </c>
      <c r="G99" s="39" t="s">
        <v>210</v>
      </c>
      <c r="H99" s="41">
        <v>30</v>
      </c>
      <c r="I99" s="39" t="s">
        <v>2</v>
      </c>
      <c r="J99" s="40">
        <v>15.224375</v>
      </c>
      <c r="K99" s="39">
        <v>16.511949999999999</v>
      </c>
      <c r="L99" s="39">
        <v>80.749297222199999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>
        <v>3.56</v>
      </c>
      <c r="GZ99" s="1">
        <v>3.86</v>
      </c>
      <c r="HA99" s="1">
        <v>4.4800000000000004</v>
      </c>
      <c r="HB99" s="1">
        <v>4.32</v>
      </c>
      <c r="HC99" s="1">
        <v>4.33</v>
      </c>
      <c r="HD99" s="1">
        <v>4.1100000000000003</v>
      </c>
      <c r="HE99" s="1">
        <v>3.28</v>
      </c>
      <c r="HF99" s="1">
        <v>1.72</v>
      </c>
      <c r="HG99" s="1">
        <v>2.96</v>
      </c>
      <c r="HH99" s="1">
        <v>4.21</v>
      </c>
      <c r="HI99" s="1">
        <v>4.93</v>
      </c>
      <c r="HJ99" s="1">
        <v>5.36</v>
      </c>
      <c r="HK99" s="1">
        <v>5.58</v>
      </c>
      <c r="HL99" s="1">
        <v>5.77</v>
      </c>
      <c r="HM99" s="1">
        <v>4.3600000000000003</v>
      </c>
      <c r="HN99" s="1">
        <v>6.38</v>
      </c>
      <c r="HO99" s="1">
        <v>4.37</v>
      </c>
      <c r="HP99" s="1">
        <v>4.8499999999999996</v>
      </c>
      <c r="HQ99" s="1">
        <v>4.5199999999999996</v>
      </c>
      <c r="HR99" s="1">
        <v>4.4000000000000004</v>
      </c>
      <c r="HS99" s="1">
        <v>4.4000000000000004</v>
      </c>
      <c r="HT99" s="1">
        <v>4.6500000000000004</v>
      </c>
      <c r="HU99" s="1">
        <v>4.9000000000000004</v>
      </c>
      <c r="HV99" s="1">
        <v>5.18</v>
      </c>
      <c r="HW99" s="1">
        <v>5.41</v>
      </c>
      <c r="HX99" s="1">
        <v>6.52</v>
      </c>
      <c r="HY99" s="1">
        <v>5.93</v>
      </c>
      <c r="HZ99" s="1">
        <v>6.57</v>
      </c>
      <c r="IA99" s="1">
        <v>6.7</v>
      </c>
      <c r="IB99" s="1">
        <v>6.74</v>
      </c>
      <c r="IC99" s="1">
        <v>6.78</v>
      </c>
      <c r="ID99" s="1">
        <v>6.88</v>
      </c>
      <c r="IE99" s="1">
        <v>6.95</v>
      </c>
      <c r="IF99" s="1">
        <v>7.15</v>
      </c>
      <c r="IG99" s="1">
        <v>7.24</v>
      </c>
      <c r="IH99" s="1">
        <v>7.53</v>
      </c>
      <c r="II99" s="1">
        <v>7.63</v>
      </c>
      <c r="IJ99" s="1">
        <v>7.73</v>
      </c>
      <c r="IK99" s="1">
        <v>7.84</v>
      </c>
      <c r="IL99" s="1">
        <v>7.74</v>
      </c>
      <c r="IM99" s="1">
        <v>7.68</v>
      </c>
      <c r="IN99" s="1">
        <v>7.78</v>
      </c>
      <c r="IO99" s="1">
        <v>7.64</v>
      </c>
      <c r="IP99" s="1">
        <v>7.35</v>
      </c>
      <c r="IQ99" s="1">
        <v>7.33</v>
      </c>
      <c r="IR99" s="1">
        <v>7.49</v>
      </c>
      <c r="IS99" s="1">
        <v>7.59</v>
      </c>
      <c r="IT99" s="1">
        <v>7.81</v>
      </c>
      <c r="IU99" s="1">
        <v>7.86</v>
      </c>
      <c r="IV99" s="1">
        <v>7.93</v>
      </c>
      <c r="IW99" s="1">
        <v>8.0299999999999994</v>
      </c>
      <c r="IX99" s="1">
        <v>7.96</v>
      </c>
      <c r="IY99" s="1">
        <v>7.85</v>
      </c>
      <c r="IZ99" s="1">
        <v>7.52</v>
      </c>
      <c r="JA99" s="1">
        <v>7.27</v>
      </c>
      <c r="JB99" s="1">
        <v>6.99</v>
      </c>
      <c r="JC99" s="1">
        <v>7.22</v>
      </c>
      <c r="JD99" s="1">
        <v>7.49</v>
      </c>
      <c r="JE99" s="1">
        <v>7.61</v>
      </c>
      <c r="JF99" s="1">
        <v>7.77</v>
      </c>
      <c r="JG99" s="1">
        <v>9.6999999999999993</v>
      </c>
      <c r="JH99" s="1">
        <v>9.89</v>
      </c>
      <c r="JI99" s="1">
        <v>10.07</v>
      </c>
      <c r="JJ99" s="1">
        <v>9.91</v>
      </c>
      <c r="JK99" s="1">
        <v>7.96</v>
      </c>
      <c r="JL99" s="1">
        <v>7.67</v>
      </c>
      <c r="JM99" s="1">
        <v>6.95</v>
      </c>
      <c r="JN99" s="1">
        <v>6.75</v>
      </c>
      <c r="JO99" s="1">
        <v>6.69</v>
      </c>
      <c r="JP99" s="1">
        <v>6.97</v>
      </c>
      <c r="JQ99" s="1">
        <v>7.14</v>
      </c>
      <c r="JR99" s="1">
        <v>8.24</v>
      </c>
      <c r="JS99" s="1">
        <v>7.37</v>
      </c>
      <c r="JT99" s="1">
        <v>7.51</v>
      </c>
      <c r="JU99" s="1">
        <v>7.72</v>
      </c>
      <c r="JV99" s="1">
        <v>8.2799999999999994</v>
      </c>
      <c r="JW99" s="1">
        <v>6.9</v>
      </c>
      <c r="JX99" s="1">
        <v>6.12</v>
      </c>
      <c r="JY99" s="1">
        <v>5.35</v>
      </c>
      <c r="JZ99" s="1">
        <v>4.99</v>
      </c>
      <c r="KA99" s="1">
        <v>4.92</v>
      </c>
      <c r="KB99" s="1">
        <v>5.39</v>
      </c>
      <c r="KC99" s="1">
        <v>5.79</v>
      </c>
      <c r="KD99" s="1">
        <v>5.86</v>
      </c>
      <c r="KE99" s="1"/>
      <c r="KF99" s="1"/>
      <c r="KG99" s="1">
        <v>8.1300000000000008</v>
      </c>
      <c r="KH99" s="1">
        <v>6.33</v>
      </c>
      <c r="KI99" s="1">
        <v>5.37</v>
      </c>
      <c r="KJ99" s="1">
        <v>4.92</v>
      </c>
      <c r="KK99" s="1">
        <v>4.63</v>
      </c>
      <c r="KL99" s="1">
        <v>2.2000000000000002</v>
      </c>
      <c r="KM99" s="1">
        <v>4.1399999999999997</v>
      </c>
      <c r="KN99" s="1">
        <v>4.68</v>
      </c>
      <c r="KO99" s="1">
        <v>4.97</v>
      </c>
      <c r="KP99" s="1">
        <v>5.34</v>
      </c>
      <c r="KQ99" s="1">
        <v>5.59</v>
      </c>
      <c r="KR99" s="1">
        <v>5.93</v>
      </c>
      <c r="KS99" s="1">
        <v>5.83</v>
      </c>
      <c r="KT99" s="1">
        <v>5.39</v>
      </c>
      <c r="KU99" s="1">
        <v>4.95</v>
      </c>
      <c r="KV99" s="1">
        <v>4.45</v>
      </c>
      <c r="KW99" s="1">
        <v>4.37</v>
      </c>
      <c r="KX99" s="1">
        <v>4.29</v>
      </c>
      <c r="KY99" s="1">
        <v>4.17</v>
      </c>
      <c r="KZ99" s="1">
        <v>5.04</v>
      </c>
      <c r="LA99" s="1">
        <v>5.41</v>
      </c>
      <c r="LB99" s="1">
        <v>5.7</v>
      </c>
      <c r="LC99" s="1">
        <v>5.69</v>
      </c>
      <c r="LD99" s="1">
        <v>5.22</v>
      </c>
      <c r="LE99" s="1">
        <v>5.62</v>
      </c>
      <c r="LF99" s="1">
        <v>6.73</v>
      </c>
      <c r="LG99" s="1">
        <v>6.2899999999999991</v>
      </c>
      <c r="LH99" s="1">
        <v>5.7800000000000011</v>
      </c>
      <c r="LI99" s="1">
        <v>5.42</v>
      </c>
      <c r="LJ99" s="1">
        <v>4.2699999999999996</v>
      </c>
      <c r="LK99" s="1">
        <v>4.67</v>
      </c>
      <c r="LL99" s="1">
        <v>5.4</v>
      </c>
      <c r="LM99" s="1">
        <v>5.75</v>
      </c>
      <c r="LN99" s="1">
        <v>6.17</v>
      </c>
      <c r="LO99" s="1">
        <v>6.4700000000000006</v>
      </c>
      <c r="LP99" s="1">
        <v>6.6899999999999995</v>
      </c>
      <c r="LQ99" s="1">
        <v>6.75</v>
      </c>
      <c r="LR99" s="1">
        <v>7.69</v>
      </c>
      <c r="LS99" s="1">
        <v>6.8900000000000006</v>
      </c>
      <c r="LT99" s="1">
        <v>6.17</v>
      </c>
      <c r="LU99" s="1">
        <v>5.2200000000000006</v>
      </c>
      <c r="LV99" s="1">
        <v>5.32</v>
      </c>
      <c r="LW99" s="1">
        <v>5.59</v>
      </c>
      <c r="LX99" s="1">
        <v>5.1400000000000006</v>
      </c>
      <c r="LY99" s="1">
        <v>5.92</v>
      </c>
      <c r="LZ99" s="1">
        <v>6.27</v>
      </c>
      <c r="MA99" s="1">
        <v>6.9600000000000009</v>
      </c>
      <c r="MB99" s="1">
        <v>8.23</v>
      </c>
      <c r="MC99" s="1">
        <v>7.17</v>
      </c>
      <c r="MD99" s="1">
        <v>7.41</v>
      </c>
      <c r="ME99" s="1">
        <v>6.9699999999999989</v>
      </c>
      <c r="MF99" s="1">
        <v>6.4499999999999993</v>
      </c>
      <c r="MG99" s="1">
        <v>3.47</v>
      </c>
      <c r="MH99" s="1">
        <v>4.17</v>
      </c>
      <c r="MI99" s="1">
        <v>5.27</v>
      </c>
      <c r="MJ99" s="1">
        <v>5.8699999999999992</v>
      </c>
      <c r="MK99" s="1">
        <v>6.57</v>
      </c>
      <c r="ML99" s="1">
        <v>6.8699999999999992</v>
      </c>
      <c r="MM99" s="1">
        <v>7.07</v>
      </c>
      <c r="MN99" s="1">
        <v>7.3699999999999992</v>
      </c>
      <c r="MO99" s="1">
        <v>7.42</v>
      </c>
      <c r="MP99" s="1">
        <v>7.57</v>
      </c>
      <c r="MQ99" s="1">
        <v>7.3699999999999992</v>
      </c>
      <c r="MR99" s="1">
        <v>6.9699999999999989</v>
      </c>
      <c r="MS99" s="1">
        <v>6.77</v>
      </c>
      <c r="MT99">
        <v>6.47</v>
      </c>
      <c r="MU99">
        <v>5.73</v>
      </c>
    </row>
    <row r="100" spans="1:359" ht="15.75" x14ac:dyDescent="0.25">
      <c r="A100" s="8" t="s">
        <v>0</v>
      </c>
      <c r="B100" s="39">
        <v>20483</v>
      </c>
      <c r="C100" s="39" t="s">
        <v>116</v>
      </c>
      <c r="D100" s="39" t="s">
        <v>127</v>
      </c>
      <c r="E100" s="39" t="s">
        <v>167</v>
      </c>
      <c r="F100" s="39" t="s">
        <v>46</v>
      </c>
      <c r="G100" s="39" t="s">
        <v>210</v>
      </c>
      <c r="H100" s="41">
        <v>30</v>
      </c>
      <c r="I100" s="39" t="s">
        <v>119</v>
      </c>
      <c r="J100" s="40">
        <v>82.446233333333339</v>
      </c>
      <c r="K100" s="39">
        <v>16.895563200000002</v>
      </c>
      <c r="L100" s="39">
        <v>80.133396000000005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>
        <v>7.37</v>
      </c>
      <c r="GZ100" s="1">
        <v>8.1</v>
      </c>
      <c r="HA100" s="1">
        <v>8.7799999999999994</v>
      </c>
      <c r="HB100" s="1">
        <v>9.35</v>
      </c>
      <c r="HC100" s="1">
        <v>8.27</v>
      </c>
      <c r="HD100" s="1">
        <v>6.94</v>
      </c>
      <c r="HE100" s="1">
        <v>5.59</v>
      </c>
      <c r="HF100" s="1">
        <v>5.15</v>
      </c>
      <c r="HG100" s="1">
        <v>4.17</v>
      </c>
      <c r="HH100" s="1">
        <v>4.42</v>
      </c>
      <c r="HI100" s="1">
        <v>4.55</v>
      </c>
      <c r="HJ100" s="1">
        <v>4.5199999999999996</v>
      </c>
      <c r="HK100" s="1">
        <v>4.5199999999999996</v>
      </c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>
        <v>6.98</v>
      </c>
      <c r="IC100" s="1">
        <v>6.52</v>
      </c>
      <c r="ID100" s="1">
        <v>6.7</v>
      </c>
      <c r="IE100" s="1">
        <v>6.82</v>
      </c>
      <c r="IF100" s="1">
        <v>9.1199999999999992</v>
      </c>
      <c r="IG100" s="1">
        <v>9.66</v>
      </c>
      <c r="IH100" s="1">
        <v>10.26</v>
      </c>
      <c r="II100" s="1">
        <v>10.6</v>
      </c>
      <c r="IJ100" s="1">
        <v>11.34</v>
      </c>
      <c r="IK100" s="1">
        <v>12.01</v>
      </c>
      <c r="IL100" s="1">
        <v>12.33</v>
      </c>
      <c r="IM100" s="1">
        <v>9.5299999999999994</v>
      </c>
      <c r="IN100" s="1">
        <v>9.91</v>
      </c>
      <c r="IO100" s="1">
        <v>7.89</v>
      </c>
      <c r="IP100" s="1">
        <v>5.79</v>
      </c>
      <c r="IQ100" s="1">
        <v>6.54</v>
      </c>
      <c r="IR100" s="1">
        <v>7.34</v>
      </c>
      <c r="IS100" s="1">
        <v>7.76</v>
      </c>
      <c r="IT100" s="1">
        <v>8.19</v>
      </c>
      <c r="IU100" s="1">
        <v>8.56</v>
      </c>
      <c r="IV100" s="1">
        <v>9.2899999999999991</v>
      </c>
      <c r="IW100" s="1">
        <v>10.09</v>
      </c>
      <c r="IX100" s="1">
        <v>10.48</v>
      </c>
      <c r="IY100" s="1">
        <v>9.5399999999999991</v>
      </c>
      <c r="IZ100" s="1">
        <v>8.3000000000000007</v>
      </c>
      <c r="JA100" s="1">
        <v>7.66</v>
      </c>
      <c r="JB100" s="1">
        <v>5.73</v>
      </c>
      <c r="JC100" s="1">
        <v>6.49</v>
      </c>
      <c r="JD100" s="1">
        <v>6.73</v>
      </c>
      <c r="JE100" s="1">
        <v>6.77</v>
      </c>
      <c r="JF100" s="1">
        <v>6.88</v>
      </c>
      <c r="JG100" s="1">
        <v>7.1</v>
      </c>
      <c r="JH100" s="1">
        <v>7.23</v>
      </c>
      <c r="JI100" s="1">
        <v>7.85</v>
      </c>
      <c r="JJ100" s="1">
        <v>8.01</v>
      </c>
      <c r="JK100" s="1">
        <v>2.14</v>
      </c>
      <c r="JL100" s="1">
        <v>1.01</v>
      </c>
      <c r="JM100" s="1">
        <v>0.93</v>
      </c>
      <c r="JN100" s="1">
        <v>1.1200000000000001</v>
      </c>
      <c r="JO100" s="1">
        <v>6.27</v>
      </c>
      <c r="JP100" s="1">
        <v>7.4</v>
      </c>
      <c r="JQ100" s="1">
        <v>7.22</v>
      </c>
      <c r="JR100" s="1">
        <v>7.29</v>
      </c>
      <c r="JS100" s="1">
        <v>7.34</v>
      </c>
      <c r="JT100" s="1">
        <v>8.89</v>
      </c>
      <c r="JU100" s="1">
        <v>9.75</v>
      </c>
      <c r="JV100" s="1">
        <v>10.37</v>
      </c>
      <c r="JW100" s="1">
        <v>10.86</v>
      </c>
      <c r="JX100" s="1">
        <v>9.65</v>
      </c>
      <c r="JY100" s="1">
        <v>6.13</v>
      </c>
      <c r="JZ100" s="1">
        <v>6.47</v>
      </c>
      <c r="KA100" s="1">
        <v>5.64</v>
      </c>
      <c r="KB100" s="1">
        <v>5.84</v>
      </c>
      <c r="KC100" s="1">
        <v>6.24</v>
      </c>
      <c r="KD100" s="1">
        <v>6.66</v>
      </c>
      <c r="KE100" s="1"/>
      <c r="KF100" s="1"/>
      <c r="KG100" s="1">
        <v>8.85</v>
      </c>
      <c r="KH100" s="1">
        <v>8.16</v>
      </c>
      <c r="KI100" s="1">
        <v>5.6</v>
      </c>
      <c r="KJ100" s="1">
        <v>5.37</v>
      </c>
      <c r="KK100" s="1">
        <v>5.25</v>
      </c>
      <c r="KL100" s="1">
        <v>1.4</v>
      </c>
      <c r="KM100" s="1">
        <v>2.5299999999999998</v>
      </c>
      <c r="KN100" s="1">
        <v>3.3</v>
      </c>
      <c r="KO100" s="1">
        <v>4.5599999999999996</v>
      </c>
      <c r="KP100" s="1">
        <v>5.18</v>
      </c>
      <c r="KQ100" s="1">
        <v>5.71</v>
      </c>
      <c r="KR100" s="1">
        <v>6.45</v>
      </c>
      <c r="KS100" s="1">
        <v>5.75</v>
      </c>
      <c r="KT100" s="1">
        <v>5.83</v>
      </c>
      <c r="KU100" s="1">
        <v>6.12</v>
      </c>
      <c r="KV100" s="1">
        <v>6.03</v>
      </c>
      <c r="KW100" s="1">
        <v>6.73</v>
      </c>
      <c r="KX100" s="1">
        <v>5.65</v>
      </c>
      <c r="KY100" s="1">
        <v>5.81</v>
      </c>
      <c r="KZ100" s="1">
        <v>5.97</v>
      </c>
      <c r="LA100" s="1">
        <v>6.03</v>
      </c>
      <c r="LB100" s="1">
        <v>6.33</v>
      </c>
      <c r="LC100" s="1">
        <v>6.47</v>
      </c>
      <c r="LD100" s="1">
        <v>5.47</v>
      </c>
      <c r="LE100" s="1">
        <v>5.71</v>
      </c>
      <c r="LF100" s="1">
        <v>5.64</v>
      </c>
      <c r="LG100" s="1">
        <v>3.15</v>
      </c>
      <c r="LH100" s="1">
        <v>3.1</v>
      </c>
      <c r="LI100" s="1">
        <v>3.1</v>
      </c>
      <c r="LJ100" s="1">
        <v>3.1</v>
      </c>
      <c r="LK100" s="1">
        <v>2.35</v>
      </c>
      <c r="LL100" s="1">
        <v>3.1</v>
      </c>
      <c r="LM100" s="1">
        <v>5.1999999999999993</v>
      </c>
      <c r="LN100" s="1">
        <v>5.6999999999999993</v>
      </c>
      <c r="LO100" s="1">
        <v>6.5</v>
      </c>
      <c r="LP100" s="1">
        <v>5.85</v>
      </c>
      <c r="LQ100" s="1">
        <v>5.98</v>
      </c>
      <c r="LR100" s="1">
        <v>5.8</v>
      </c>
      <c r="LS100" s="1">
        <v>6.12</v>
      </c>
      <c r="LT100" s="1">
        <v>4.3199999999999994</v>
      </c>
      <c r="LU100" s="1">
        <v>4.17</v>
      </c>
      <c r="LV100" s="1">
        <v>4.4399999999999995</v>
      </c>
      <c r="LW100" s="1">
        <v>5.89</v>
      </c>
      <c r="LX100" s="1">
        <v>4.8299999999999992</v>
      </c>
      <c r="LY100" s="1">
        <v>5.6199999999999992</v>
      </c>
      <c r="LZ100" s="1">
        <v>5.9399999999999995</v>
      </c>
      <c r="MA100" s="1">
        <v>6.38</v>
      </c>
      <c r="MB100" s="1">
        <v>7.14</v>
      </c>
      <c r="MC100" s="1">
        <v>9.9499999999999993</v>
      </c>
      <c r="MD100" s="1">
        <v>9.9</v>
      </c>
      <c r="ME100" s="1">
        <v>7.8</v>
      </c>
      <c r="MF100" s="1">
        <v>4.95</v>
      </c>
      <c r="MG100" s="1">
        <v>1.5</v>
      </c>
      <c r="MH100" s="1">
        <v>1.85</v>
      </c>
      <c r="MI100" s="1">
        <v>2.65</v>
      </c>
      <c r="MJ100" s="1">
        <v>3.65</v>
      </c>
      <c r="MK100" s="1">
        <v>4.75</v>
      </c>
      <c r="ML100" s="1">
        <v>5.05</v>
      </c>
      <c r="MM100" s="1">
        <v>5.25</v>
      </c>
      <c r="MN100" s="1">
        <v>5.25</v>
      </c>
      <c r="MO100" s="1">
        <v>4.1499999999999995</v>
      </c>
      <c r="MP100" s="1">
        <v>4.45</v>
      </c>
      <c r="MQ100" s="1">
        <v>4.3</v>
      </c>
      <c r="MR100" s="1">
        <v>2.4</v>
      </c>
      <c r="MS100" s="1">
        <v>2.5</v>
      </c>
      <c r="MT100">
        <v>10.41</v>
      </c>
      <c r="MU100">
        <v>8.8000000000000007</v>
      </c>
    </row>
    <row r="101" spans="1:359" ht="15.75" x14ac:dyDescent="0.25">
      <c r="A101" s="8" t="s">
        <v>0</v>
      </c>
      <c r="B101" s="39">
        <v>20535</v>
      </c>
      <c r="C101" s="39" t="s">
        <v>116</v>
      </c>
      <c r="D101" s="39" t="s">
        <v>138</v>
      </c>
      <c r="E101" s="39" t="s">
        <v>168</v>
      </c>
      <c r="F101" s="39" t="s">
        <v>28</v>
      </c>
      <c r="G101" s="39" t="s">
        <v>210</v>
      </c>
      <c r="H101" s="41">
        <v>18</v>
      </c>
      <c r="I101" s="39" t="s">
        <v>119</v>
      </c>
      <c r="J101" s="40">
        <v>66.073899999999995</v>
      </c>
      <c r="K101" s="39">
        <v>16.870287000000001</v>
      </c>
      <c r="L101" s="39">
        <v>80.328263800000002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>
        <v>2.15</v>
      </c>
      <c r="GZ101" s="1">
        <v>2.8</v>
      </c>
      <c r="HA101" s="1">
        <v>3.5</v>
      </c>
      <c r="HB101" s="1">
        <v>3.75</v>
      </c>
      <c r="HC101" s="1">
        <v>1.94</v>
      </c>
      <c r="HD101" s="1">
        <v>1.38</v>
      </c>
      <c r="HE101" s="1">
        <v>0.65</v>
      </c>
      <c r="HF101" s="1">
        <v>0.17</v>
      </c>
      <c r="HG101" s="1">
        <v>0.65</v>
      </c>
      <c r="HH101" s="1">
        <v>1.42</v>
      </c>
      <c r="HI101" s="1">
        <v>1.07</v>
      </c>
      <c r="HJ101" s="1">
        <v>1.76</v>
      </c>
      <c r="HK101" s="1">
        <v>1.9</v>
      </c>
      <c r="HL101" s="1">
        <v>2.5299999999999998</v>
      </c>
      <c r="HM101" s="1">
        <v>3.12</v>
      </c>
      <c r="HN101" s="1">
        <v>3.69</v>
      </c>
      <c r="HO101" s="1">
        <v>3.48</v>
      </c>
      <c r="HP101" s="1">
        <v>3.6</v>
      </c>
      <c r="HQ101" s="1">
        <v>1.36</v>
      </c>
      <c r="HR101" s="1">
        <v>1.9</v>
      </c>
      <c r="HS101" s="1">
        <v>1.25</v>
      </c>
      <c r="HT101" s="1">
        <v>1.72</v>
      </c>
      <c r="HU101" s="1">
        <v>1.5</v>
      </c>
      <c r="HV101" s="1">
        <v>3.07</v>
      </c>
      <c r="HW101" s="1">
        <v>4.05</v>
      </c>
      <c r="HX101" s="1">
        <v>4.42</v>
      </c>
      <c r="HY101" s="1">
        <v>5.05</v>
      </c>
      <c r="HZ101" s="1">
        <v>2.1</v>
      </c>
      <c r="IA101" s="1">
        <v>3.26</v>
      </c>
      <c r="IB101" s="1">
        <v>3.04</v>
      </c>
      <c r="IC101" s="1">
        <v>2.27</v>
      </c>
      <c r="ID101" s="1">
        <v>2.89</v>
      </c>
      <c r="IE101" s="1">
        <v>3.59</v>
      </c>
      <c r="IF101" s="1">
        <v>4.41</v>
      </c>
      <c r="IG101" s="1">
        <v>5.42</v>
      </c>
      <c r="IH101" s="1">
        <v>6.42</v>
      </c>
      <c r="II101" s="1">
        <v>6.83</v>
      </c>
      <c r="IJ101" s="1">
        <v>7.66</v>
      </c>
      <c r="IK101" s="1">
        <v>8.01</v>
      </c>
      <c r="IL101" s="1">
        <v>8.24</v>
      </c>
      <c r="IM101" s="1">
        <v>8.4</v>
      </c>
      <c r="IN101" s="1">
        <v>8.16</v>
      </c>
      <c r="IO101" s="1">
        <v>6.59</v>
      </c>
      <c r="IP101" s="1">
        <v>3.11</v>
      </c>
      <c r="IQ101" s="1">
        <v>4.12</v>
      </c>
      <c r="IR101" s="1">
        <v>5.73</v>
      </c>
      <c r="IS101" s="1">
        <v>6.35</v>
      </c>
      <c r="IT101" s="1">
        <v>7.16</v>
      </c>
      <c r="IU101" s="1">
        <v>7.69</v>
      </c>
      <c r="IV101" s="1">
        <v>8.16</v>
      </c>
      <c r="IW101" s="1">
        <v>8.57</v>
      </c>
      <c r="IX101" s="1">
        <v>8.9700000000000006</v>
      </c>
      <c r="IY101" s="1">
        <v>9.14</v>
      </c>
      <c r="IZ101" s="1">
        <v>4.93</v>
      </c>
      <c r="JA101" s="1">
        <v>3.24</v>
      </c>
      <c r="JB101" s="1">
        <v>2.87</v>
      </c>
      <c r="JC101" s="1">
        <v>4.07</v>
      </c>
      <c r="JD101" s="1">
        <v>4.6100000000000003</v>
      </c>
      <c r="JE101" s="1">
        <v>5.09</v>
      </c>
      <c r="JF101" s="1">
        <v>5.89</v>
      </c>
      <c r="JG101" s="1">
        <v>6.68</v>
      </c>
      <c r="JH101" s="1">
        <v>7.07</v>
      </c>
      <c r="JI101" s="1">
        <v>7.66</v>
      </c>
      <c r="JJ101" s="1">
        <v>7.87</v>
      </c>
      <c r="JK101" s="1">
        <v>7.75</v>
      </c>
      <c r="JL101" s="1">
        <v>2.25</v>
      </c>
      <c r="JM101" s="1">
        <v>1.87</v>
      </c>
      <c r="JN101" s="1">
        <v>2.58</v>
      </c>
      <c r="JO101" s="1">
        <v>2.83</v>
      </c>
      <c r="JP101" s="1">
        <v>2.69</v>
      </c>
      <c r="JQ101" s="1">
        <v>3.36</v>
      </c>
      <c r="JR101" s="1">
        <v>3.02</v>
      </c>
      <c r="JS101" s="1">
        <v>4.6500000000000004</v>
      </c>
      <c r="JT101" s="1">
        <v>4.4400000000000004</v>
      </c>
      <c r="JU101" s="1">
        <v>5.22</v>
      </c>
      <c r="JV101" s="1">
        <v>6.11</v>
      </c>
      <c r="JW101" s="1">
        <v>6.63</v>
      </c>
      <c r="JX101" s="1">
        <v>5.38</v>
      </c>
      <c r="JY101" s="1">
        <v>3.3</v>
      </c>
      <c r="JZ101" s="1">
        <v>1.55</v>
      </c>
      <c r="KA101" s="1">
        <v>1.71</v>
      </c>
      <c r="KB101" s="1">
        <v>0.78</v>
      </c>
      <c r="KC101" s="1">
        <v>1.82</v>
      </c>
      <c r="KD101" s="1">
        <v>2.0299999999999998</v>
      </c>
      <c r="KE101" s="1"/>
      <c r="KF101" s="1"/>
      <c r="KG101" s="1">
        <v>3.39</v>
      </c>
      <c r="KH101" s="1">
        <v>3.73</v>
      </c>
      <c r="KI101" s="1">
        <v>0.87</v>
      </c>
      <c r="KJ101" s="1">
        <v>1.2</v>
      </c>
      <c r="KK101" s="1">
        <v>0.32</v>
      </c>
      <c r="KL101" s="1">
        <v>0.05</v>
      </c>
      <c r="KM101" s="1">
        <v>0.74</v>
      </c>
      <c r="KN101" s="1">
        <v>0.68</v>
      </c>
      <c r="KO101" s="1">
        <v>0.95</v>
      </c>
      <c r="KP101" s="1">
        <v>1.1499999999999999</v>
      </c>
      <c r="KQ101" s="1">
        <v>1.7</v>
      </c>
      <c r="KR101" s="1">
        <v>2.21</v>
      </c>
      <c r="KS101" s="1">
        <v>2.38</v>
      </c>
      <c r="KT101" s="1">
        <v>2.4900000000000002</v>
      </c>
      <c r="KU101" s="1">
        <v>0.73</v>
      </c>
      <c r="KV101" s="1">
        <v>0.39</v>
      </c>
      <c r="KW101" s="1">
        <v>0.39</v>
      </c>
      <c r="KX101" s="1">
        <v>0.63</v>
      </c>
      <c r="KY101" s="1">
        <v>0.65</v>
      </c>
      <c r="KZ101" s="1">
        <v>0.98</v>
      </c>
      <c r="LA101" s="1">
        <v>1.02</v>
      </c>
      <c r="LB101" s="1">
        <v>1.36</v>
      </c>
      <c r="LC101" s="1">
        <v>1.54</v>
      </c>
      <c r="LD101" s="1">
        <v>1.63</v>
      </c>
      <c r="LE101" s="1">
        <v>2.4</v>
      </c>
      <c r="LF101" s="1">
        <v>2.7</v>
      </c>
      <c r="LG101" s="1">
        <v>0.66</v>
      </c>
      <c r="LH101" s="1">
        <v>0.8899999999999999</v>
      </c>
      <c r="LI101" s="1">
        <v>0.6499999999999998</v>
      </c>
      <c r="LJ101" s="1">
        <v>0.4</v>
      </c>
      <c r="LK101" s="1">
        <v>0.49</v>
      </c>
      <c r="LL101" s="1">
        <v>0.79999999999999993</v>
      </c>
      <c r="LM101" s="1">
        <v>0.98999999999999988</v>
      </c>
      <c r="LN101" s="1">
        <v>1.3900000000000001</v>
      </c>
      <c r="LO101" s="1">
        <v>1.52</v>
      </c>
      <c r="LP101" s="1">
        <v>2.0500000000000003</v>
      </c>
      <c r="LQ101" s="1">
        <v>2.17</v>
      </c>
      <c r="LR101" s="1">
        <v>3.36</v>
      </c>
      <c r="LS101" s="1">
        <v>2.81</v>
      </c>
      <c r="LT101" s="1">
        <v>0.95000000000000007</v>
      </c>
      <c r="LU101" s="1">
        <v>0.61</v>
      </c>
      <c r="LV101" s="1">
        <v>0.67</v>
      </c>
      <c r="LW101" s="1">
        <v>1.29</v>
      </c>
      <c r="LX101" s="1">
        <v>0.99999999999999989</v>
      </c>
      <c r="LY101" s="1">
        <v>1.38</v>
      </c>
      <c r="LZ101" s="1">
        <v>1.6400000000000001</v>
      </c>
      <c r="MA101" s="1">
        <v>2.4700000000000002</v>
      </c>
      <c r="MB101" s="1">
        <v>3.3000000000000003</v>
      </c>
      <c r="MC101" s="1">
        <v>4.0199999999999996</v>
      </c>
      <c r="MD101" s="1">
        <v>3.7899999999999996</v>
      </c>
      <c r="ME101" s="1">
        <v>2.15</v>
      </c>
      <c r="MF101" s="1">
        <v>0.66</v>
      </c>
      <c r="MG101" s="1">
        <v>0.51</v>
      </c>
      <c r="MH101" s="1">
        <v>0.15000000000000002</v>
      </c>
      <c r="MI101" s="1">
        <v>0.65</v>
      </c>
      <c r="MJ101" s="1">
        <v>0.94999999999999962</v>
      </c>
      <c r="MK101" s="1">
        <v>1.4500000000000002</v>
      </c>
      <c r="ML101" s="1">
        <v>1.65</v>
      </c>
      <c r="MM101" s="1">
        <v>1.9500000000000002</v>
      </c>
      <c r="MN101" s="1">
        <v>1.25</v>
      </c>
      <c r="MO101" s="1">
        <v>3.69</v>
      </c>
      <c r="MP101" s="1">
        <v>3.4499999999999997</v>
      </c>
      <c r="MQ101" s="1">
        <v>2.9</v>
      </c>
      <c r="MR101" s="1">
        <v>2.2000000000000002</v>
      </c>
      <c r="MS101" s="1">
        <v>0.54999999999999993</v>
      </c>
      <c r="MT101">
        <v>8.66</v>
      </c>
      <c r="MU101">
        <v>6.28</v>
      </c>
    </row>
    <row r="102" spans="1:359" ht="15.75" x14ac:dyDescent="0.25">
      <c r="A102" s="8" t="s">
        <v>0</v>
      </c>
      <c r="B102" s="39">
        <v>20510</v>
      </c>
      <c r="C102" s="39" t="s">
        <v>116</v>
      </c>
      <c r="D102" s="39" t="s">
        <v>131</v>
      </c>
      <c r="E102" s="39" t="s">
        <v>169</v>
      </c>
      <c r="F102" s="39" t="s">
        <v>46</v>
      </c>
      <c r="G102" s="39" t="s">
        <v>210</v>
      </c>
      <c r="H102" s="41">
        <v>68</v>
      </c>
      <c r="I102" s="39" t="s">
        <v>61</v>
      </c>
      <c r="J102" s="40">
        <v>38.709424999999996</v>
      </c>
      <c r="K102" s="39">
        <v>16.633199999999999</v>
      </c>
      <c r="L102" s="39">
        <v>80.451611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>
        <v>4.0999999999999996</v>
      </c>
      <c r="GZ102" s="1">
        <v>4.62</v>
      </c>
      <c r="HA102" s="1">
        <v>5.33</v>
      </c>
      <c r="HB102" s="1">
        <v>6.13</v>
      </c>
      <c r="HC102" s="1">
        <v>4.97</v>
      </c>
      <c r="HD102" s="1">
        <v>3.1</v>
      </c>
      <c r="HE102" s="1">
        <v>1.97</v>
      </c>
      <c r="HF102" s="1">
        <v>1.08</v>
      </c>
      <c r="HG102" s="1">
        <v>1.54</v>
      </c>
      <c r="HH102" s="1">
        <v>2.06</v>
      </c>
      <c r="HI102" s="1">
        <v>2.4900000000000002</v>
      </c>
      <c r="HJ102" s="1">
        <v>2.95</v>
      </c>
      <c r="HK102" s="1">
        <v>2.95</v>
      </c>
      <c r="HL102" s="1">
        <v>3.9</v>
      </c>
      <c r="HM102" s="1">
        <v>4.3099999999999996</v>
      </c>
      <c r="HN102" s="1">
        <v>4.8099999999999996</v>
      </c>
      <c r="HO102" s="1">
        <v>5.37</v>
      </c>
      <c r="HP102" s="1">
        <v>5.41</v>
      </c>
      <c r="HQ102" s="1">
        <v>3.72</v>
      </c>
      <c r="HR102" s="1">
        <v>4.04</v>
      </c>
      <c r="HS102" s="1">
        <v>4.17</v>
      </c>
      <c r="HT102" s="1">
        <v>4.2699999999999996</v>
      </c>
      <c r="HU102" s="1">
        <v>5.62</v>
      </c>
      <c r="HV102" s="1">
        <v>5.87</v>
      </c>
      <c r="HW102" s="1">
        <v>6.74</v>
      </c>
      <c r="HX102" s="1">
        <v>7.19</v>
      </c>
      <c r="HY102" s="1">
        <v>7.65</v>
      </c>
      <c r="HZ102" s="1">
        <v>6.42</v>
      </c>
      <c r="IA102" s="1">
        <v>5.5</v>
      </c>
      <c r="IB102" s="1">
        <v>4.2699999999999996</v>
      </c>
      <c r="IC102" s="1">
        <v>3.82</v>
      </c>
      <c r="ID102" s="1">
        <v>3.84</v>
      </c>
      <c r="IE102" s="1">
        <v>4.09</v>
      </c>
      <c r="IF102" s="1">
        <v>4.53</v>
      </c>
      <c r="IG102" s="1">
        <v>4.95</v>
      </c>
      <c r="IH102" s="1">
        <v>5.91</v>
      </c>
      <c r="II102" s="1">
        <v>6.36</v>
      </c>
      <c r="IJ102" s="1">
        <v>7.19</v>
      </c>
      <c r="IK102" s="1">
        <v>8.09</v>
      </c>
      <c r="IL102" s="1">
        <v>8.11</v>
      </c>
      <c r="IM102" s="1">
        <v>7.8</v>
      </c>
      <c r="IN102" s="1">
        <v>6.69</v>
      </c>
      <c r="IO102" s="1">
        <v>6.27</v>
      </c>
      <c r="IP102" s="1">
        <v>4.6500000000000004</v>
      </c>
      <c r="IQ102" s="1">
        <v>4.87</v>
      </c>
      <c r="IR102" s="1">
        <v>5.36</v>
      </c>
      <c r="IS102" s="1">
        <v>5.89</v>
      </c>
      <c r="IT102" s="1">
        <v>6.54</v>
      </c>
      <c r="IU102" s="1">
        <v>7.26</v>
      </c>
      <c r="IV102" s="1">
        <v>8.31</v>
      </c>
      <c r="IW102" s="1">
        <v>8.7200000000000006</v>
      </c>
      <c r="IX102" s="1">
        <v>8.5399999999999991</v>
      </c>
      <c r="IY102" s="1">
        <v>8.59</v>
      </c>
      <c r="IZ102" s="1">
        <v>6.6</v>
      </c>
      <c r="JA102" s="1">
        <v>4.79</v>
      </c>
      <c r="JB102" s="1">
        <v>4.63</v>
      </c>
      <c r="JC102" s="1">
        <v>5.09</v>
      </c>
      <c r="JD102" s="1">
        <v>5.78</v>
      </c>
      <c r="JE102" s="1">
        <v>6.4</v>
      </c>
      <c r="JF102" s="1">
        <v>7.07</v>
      </c>
      <c r="JG102" s="1">
        <v>8.0500000000000007</v>
      </c>
      <c r="JH102" s="1">
        <v>8.4600000000000009</v>
      </c>
      <c r="JI102" s="1">
        <v>9.56</v>
      </c>
      <c r="JJ102" s="1">
        <v>9.89</v>
      </c>
      <c r="JK102" s="1">
        <v>8.1300000000000008</v>
      </c>
      <c r="JL102" s="1">
        <v>3.3</v>
      </c>
      <c r="JM102" s="1">
        <v>4.43</v>
      </c>
      <c r="JN102" s="1">
        <v>4.6500000000000004</v>
      </c>
      <c r="JO102" s="1">
        <v>5.04</v>
      </c>
      <c r="JP102" s="1">
        <v>5.0999999999999996</v>
      </c>
      <c r="JQ102" s="1">
        <v>5.62</v>
      </c>
      <c r="JR102" s="1">
        <v>5.79</v>
      </c>
      <c r="JS102" s="1">
        <v>6.76</v>
      </c>
      <c r="JT102" s="1">
        <v>7.58</v>
      </c>
      <c r="JU102" s="1">
        <v>8.6300000000000008</v>
      </c>
      <c r="JV102" s="1">
        <v>9.4700000000000006</v>
      </c>
      <c r="JW102" s="1">
        <v>9.75</v>
      </c>
      <c r="JX102" s="1">
        <v>8.9499999999999993</v>
      </c>
      <c r="JY102" s="1">
        <v>6.63</v>
      </c>
      <c r="JZ102" s="1">
        <v>3.53</v>
      </c>
      <c r="KA102" s="1">
        <v>3.41</v>
      </c>
      <c r="KB102" s="1">
        <v>2.78</v>
      </c>
      <c r="KC102" s="1">
        <v>4.32</v>
      </c>
      <c r="KD102" s="1">
        <v>4.82</v>
      </c>
      <c r="KE102" s="1"/>
      <c r="KF102" s="1"/>
      <c r="KG102" s="1">
        <v>7.55</v>
      </c>
      <c r="KH102" s="1">
        <v>7.17</v>
      </c>
      <c r="KI102" s="1">
        <v>2.93</v>
      </c>
      <c r="KJ102" s="1">
        <v>6.26</v>
      </c>
      <c r="KK102" s="1">
        <v>2.65</v>
      </c>
      <c r="KL102" s="1">
        <v>0.23</v>
      </c>
      <c r="KM102" s="1">
        <v>0.59</v>
      </c>
      <c r="KN102" s="1">
        <v>1.6</v>
      </c>
      <c r="KO102" s="1">
        <v>2.0499999999999998</v>
      </c>
      <c r="KP102" s="1">
        <v>2.5099999999999998</v>
      </c>
      <c r="KQ102" s="1">
        <v>3.46</v>
      </c>
      <c r="KR102" s="1">
        <v>3.95</v>
      </c>
      <c r="KS102" s="1">
        <v>5.77</v>
      </c>
      <c r="KT102" s="1">
        <v>5.56</v>
      </c>
      <c r="KU102" s="1">
        <v>5.93</v>
      </c>
      <c r="KV102" s="1">
        <v>3.88</v>
      </c>
      <c r="KW102" s="1">
        <v>3.53</v>
      </c>
      <c r="KX102" s="1">
        <v>1.07</v>
      </c>
      <c r="KY102" s="1">
        <v>2.09</v>
      </c>
      <c r="KZ102" s="1">
        <v>2.29</v>
      </c>
      <c r="LA102" s="1">
        <v>2.88</v>
      </c>
      <c r="LB102" s="1">
        <v>1.44</v>
      </c>
      <c r="LC102" s="1">
        <v>4.18</v>
      </c>
      <c r="LD102" s="1">
        <v>4.8499999999999996</v>
      </c>
      <c r="LE102" s="1">
        <v>6.19</v>
      </c>
      <c r="LF102" s="1">
        <v>6.99</v>
      </c>
      <c r="LG102" s="1">
        <v>4.8199999999999994</v>
      </c>
      <c r="LH102" s="1">
        <v>2.6</v>
      </c>
      <c r="LI102" s="1">
        <v>3.3499999999999996</v>
      </c>
      <c r="LJ102" s="1">
        <v>1.7500000000000002</v>
      </c>
      <c r="LK102" s="1">
        <v>2.5500000000000003</v>
      </c>
      <c r="LL102" s="1">
        <v>3.55</v>
      </c>
      <c r="LM102" s="1">
        <v>4.3</v>
      </c>
      <c r="LN102" s="1">
        <v>5.01</v>
      </c>
      <c r="LO102" s="1">
        <v>6.05</v>
      </c>
      <c r="LP102" s="1">
        <v>8.8000000000000007</v>
      </c>
      <c r="LQ102" s="1">
        <v>7.28</v>
      </c>
      <c r="LR102" s="1">
        <v>8.84</v>
      </c>
      <c r="LS102" s="1">
        <v>8.2200000000000006</v>
      </c>
      <c r="LT102" s="1">
        <v>6.68</v>
      </c>
      <c r="LU102" s="1">
        <v>5.3599999999999994</v>
      </c>
      <c r="LV102" s="1">
        <v>5.16</v>
      </c>
      <c r="LW102" s="1">
        <v>6.22</v>
      </c>
      <c r="LX102" s="1">
        <v>5.5399999999999991</v>
      </c>
      <c r="LY102" s="1">
        <v>6.27</v>
      </c>
      <c r="LZ102" s="1">
        <v>7.17</v>
      </c>
      <c r="MA102" s="1">
        <v>8.08</v>
      </c>
      <c r="MB102" s="1">
        <v>8.42</v>
      </c>
      <c r="MC102" s="1">
        <v>9.64</v>
      </c>
      <c r="MD102" s="1">
        <v>9.490000000000002</v>
      </c>
      <c r="ME102" s="1">
        <v>6.1000000000000005</v>
      </c>
      <c r="MF102" s="1">
        <v>4.74</v>
      </c>
      <c r="MG102" s="1">
        <v>0.18000000000000005</v>
      </c>
      <c r="MH102" s="1">
        <v>0.95</v>
      </c>
      <c r="MI102" s="1">
        <v>1.8</v>
      </c>
      <c r="MJ102" s="1">
        <v>2.8</v>
      </c>
      <c r="MK102" s="1">
        <v>3.5</v>
      </c>
      <c r="ML102" s="1">
        <v>4.8</v>
      </c>
      <c r="MM102" s="1">
        <v>5.3</v>
      </c>
      <c r="MN102" s="1">
        <v>6.3999999999999995</v>
      </c>
      <c r="MO102" s="1">
        <v>6.2</v>
      </c>
      <c r="MP102" s="1">
        <v>4.5999999999999996</v>
      </c>
      <c r="MQ102" s="1">
        <v>4.2</v>
      </c>
      <c r="MR102" s="1">
        <v>0.90000000000000013</v>
      </c>
      <c r="MS102" s="1">
        <v>0.73</v>
      </c>
      <c r="MT102">
        <v>1.03</v>
      </c>
      <c r="MU102">
        <v>1.9</v>
      </c>
    </row>
    <row r="103" spans="1:359" ht="15.75" x14ac:dyDescent="0.25">
      <c r="A103" s="8" t="s">
        <v>0</v>
      </c>
      <c r="B103" s="39">
        <v>20488</v>
      </c>
      <c r="C103" s="39" t="s">
        <v>116</v>
      </c>
      <c r="D103" s="39" t="s">
        <v>120</v>
      </c>
      <c r="E103" s="39" t="s">
        <v>170</v>
      </c>
      <c r="F103" s="39" t="s">
        <v>157</v>
      </c>
      <c r="G103" s="39" t="s">
        <v>210</v>
      </c>
      <c r="H103" s="41">
        <v>30</v>
      </c>
      <c r="I103" s="39" t="s">
        <v>119</v>
      </c>
      <c r="J103" s="40">
        <v>50.569575</v>
      </c>
      <c r="K103" s="39">
        <v>16.736727500000001</v>
      </c>
      <c r="L103" s="39">
        <v>80.181018300000005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>
        <v>1.35</v>
      </c>
      <c r="GZ103" s="1">
        <v>1.7</v>
      </c>
      <c r="HA103" s="1">
        <v>1.93</v>
      </c>
      <c r="HB103" s="1">
        <v>1.68</v>
      </c>
      <c r="HC103" s="1">
        <v>1.41</v>
      </c>
      <c r="HD103" s="1">
        <v>0.7</v>
      </c>
      <c r="HE103" s="1">
        <v>0.5</v>
      </c>
      <c r="HF103" s="1">
        <v>0.21</v>
      </c>
      <c r="HG103" s="1">
        <v>0.38</v>
      </c>
      <c r="HH103" s="1">
        <v>0.71</v>
      </c>
      <c r="HI103" s="1">
        <v>0.69</v>
      </c>
      <c r="HJ103" s="1">
        <v>1.02</v>
      </c>
      <c r="HK103" s="1">
        <v>1.3</v>
      </c>
      <c r="HL103" s="1">
        <v>1.34</v>
      </c>
      <c r="HM103" s="1">
        <v>1.44</v>
      </c>
      <c r="HN103" s="1">
        <v>1.46</v>
      </c>
      <c r="HO103" s="1">
        <v>1.33</v>
      </c>
      <c r="HP103" s="1">
        <v>1.31</v>
      </c>
      <c r="HQ103" s="1">
        <v>1.04</v>
      </c>
      <c r="HR103" s="1">
        <v>0.78</v>
      </c>
      <c r="HS103" s="1">
        <v>0.61</v>
      </c>
      <c r="HT103" s="1">
        <v>0.71</v>
      </c>
      <c r="HU103" s="1">
        <v>0.95</v>
      </c>
      <c r="HV103" s="1">
        <v>1.1599999999999999</v>
      </c>
      <c r="HW103" s="1">
        <v>1.56</v>
      </c>
      <c r="HX103" s="1">
        <v>1.52</v>
      </c>
      <c r="HY103" s="1">
        <v>1.46</v>
      </c>
      <c r="HZ103" s="1">
        <v>0.34</v>
      </c>
      <c r="IA103" s="1">
        <v>0.71</v>
      </c>
      <c r="IB103" s="1">
        <v>0.61</v>
      </c>
      <c r="IC103" s="1">
        <v>0.18</v>
      </c>
      <c r="ID103" s="1"/>
      <c r="IE103" s="1">
        <v>0.84</v>
      </c>
      <c r="IF103" s="1">
        <v>1.31</v>
      </c>
      <c r="IG103" s="1">
        <v>1.5</v>
      </c>
      <c r="IH103" s="1">
        <v>1.7</v>
      </c>
      <c r="II103" s="1">
        <v>1.85</v>
      </c>
      <c r="IJ103" s="1">
        <v>2.11</v>
      </c>
      <c r="IK103" s="1">
        <v>2.09</v>
      </c>
      <c r="IL103" s="1">
        <v>2</v>
      </c>
      <c r="IM103" s="1">
        <v>1.82</v>
      </c>
      <c r="IN103" s="1">
        <v>1.29</v>
      </c>
      <c r="IO103" s="1">
        <v>0.46</v>
      </c>
      <c r="IP103" s="1">
        <v>0.4</v>
      </c>
      <c r="IQ103" s="1">
        <v>0.93</v>
      </c>
      <c r="IR103" s="1">
        <v>1.07</v>
      </c>
      <c r="IS103" s="1">
        <v>1.3</v>
      </c>
      <c r="IT103" s="1">
        <v>1.63</v>
      </c>
      <c r="IU103" s="1">
        <v>1.79</v>
      </c>
      <c r="IV103" s="1">
        <v>1.94</v>
      </c>
      <c r="IW103" s="1">
        <v>2.14</v>
      </c>
      <c r="IX103" s="1">
        <v>1.63</v>
      </c>
      <c r="IY103" s="1">
        <v>0.84</v>
      </c>
      <c r="IZ103" s="1">
        <v>0.75</v>
      </c>
      <c r="JA103" s="1">
        <v>0.54</v>
      </c>
      <c r="JB103" s="1">
        <v>0.75</v>
      </c>
      <c r="JC103" s="1">
        <v>1.59</v>
      </c>
      <c r="JD103" s="1">
        <v>1.74</v>
      </c>
      <c r="JE103" s="1">
        <v>1.86</v>
      </c>
      <c r="JF103" s="1">
        <v>2.11</v>
      </c>
      <c r="JG103" s="1">
        <v>2.2400000000000002</v>
      </c>
      <c r="JH103" s="1">
        <v>2.35</v>
      </c>
      <c r="JI103" s="1">
        <v>2.41</v>
      </c>
      <c r="JJ103" s="1">
        <v>2.42</v>
      </c>
      <c r="JK103" s="1">
        <v>2.11</v>
      </c>
      <c r="JL103" s="1">
        <v>1.82</v>
      </c>
      <c r="JM103" s="1">
        <v>1.01</v>
      </c>
      <c r="JN103" s="1">
        <v>1.1399999999999999</v>
      </c>
      <c r="JO103" s="1">
        <v>1.76</v>
      </c>
      <c r="JP103" s="1">
        <v>1.25</v>
      </c>
      <c r="JQ103" s="1">
        <v>1.25</v>
      </c>
      <c r="JR103" s="1">
        <v>1.43</v>
      </c>
      <c r="JS103" s="1">
        <v>1.46</v>
      </c>
      <c r="JT103" s="1">
        <v>1.71</v>
      </c>
      <c r="JU103" s="1">
        <v>2.19</v>
      </c>
      <c r="JV103" s="1">
        <v>2.5</v>
      </c>
      <c r="JW103" s="1">
        <v>2.1800000000000002</v>
      </c>
      <c r="JX103" s="1">
        <v>2.19</v>
      </c>
      <c r="JY103" s="1">
        <v>1.6</v>
      </c>
      <c r="JZ103" s="1">
        <v>0.7</v>
      </c>
      <c r="KA103" s="1">
        <v>1.36</v>
      </c>
      <c r="KB103" s="1">
        <v>1.65</v>
      </c>
      <c r="KC103" s="1">
        <v>1.25</v>
      </c>
      <c r="KD103" s="1">
        <v>0.65</v>
      </c>
      <c r="KE103" s="1"/>
      <c r="KF103" s="1"/>
      <c r="KG103" s="1">
        <v>1.96</v>
      </c>
      <c r="KH103" s="1">
        <v>1.73</v>
      </c>
      <c r="KI103" s="1">
        <v>0.63</v>
      </c>
      <c r="KJ103" s="1">
        <v>0.6</v>
      </c>
      <c r="KK103" s="1">
        <v>0.31</v>
      </c>
      <c r="KL103" s="1">
        <v>0.25</v>
      </c>
      <c r="KM103" s="1">
        <v>0.96</v>
      </c>
      <c r="KN103" s="1">
        <v>1.03</v>
      </c>
      <c r="KO103" s="1">
        <v>1.17</v>
      </c>
      <c r="KP103" s="1">
        <v>1.27</v>
      </c>
      <c r="KQ103" s="1">
        <v>1.98</v>
      </c>
      <c r="KR103" s="1">
        <v>2.1800000000000002</v>
      </c>
      <c r="KS103" s="1">
        <v>3.9</v>
      </c>
      <c r="KT103" s="1">
        <v>3.61</v>
      </c>
      <c r="KU103" s="1">
        <v>1.8</v>
      </c>
      <c r="KV103" s="1">
        <v>1.1200000000000001</v>
      </c>
      <c r="KW103" s="1">
        <v>1.74</v>
      </c>
      <c r="KX103" s="1">
        <v>0.9</v>
      </c>
      <c r="KY103" s="1">
        <v>1.05</v>
      </c>
      <c r="KZ103" s="1">
        <v>1.34</v>
      </c>
      <c r="LA103" s="1">
        <v>1.5</v>
      </c>
      <c r="LB103" s="1">
        <v>2.0099999999999998</v>
      </c>
      <c r="LC103" s="1">
        <v>2.0699999999999998</v>
      </c>
      <c r="LD103" s="1">
        <v>2.2599999999999998</v>
      </c>
      <c r="LE103" s="1">
        <v>1.89</v>
      </c>
      <c r="LF103" s="1">
        <v>1.84</v>
      </c>
      <c r="LG103" s="1">
        <v>1.54</v>
      </c>
      <c r="LH103" s="1">
        <v>1.98</v>
      </c>
      <c r="LI103" s="1">
        <v>1.7200000000000002</v>
      </c>
      <c r="LJ103" s="1">
        <v>1.2999999999999998</v>
      </c>
      <c r="LK103" s="1">
        <v>1.1099999999999999</v>
      </c>
      <c r="LL103" s="1">
        <v>1.2000000000000002</v>
      </c>
      <c r="LM103" s="1">
        <v>1.3199999999999998</v>
      </c>
      <c r="LN103" s="1">
        <v>1.92</v>
      </c>
      <c r="LO103" s="1">
        <v>1.73</v>
      </c>
      <c r="LP103" s="1">
        <v>1.96</v>
      </c>
      <c r="LQ103" s="1">
        <v>1.9299999999999997</v>
      </c>
      <c r="LR103" s="1">
        <v>2.62</v>
      </c>
      <c r="LS103" s="1">
        <v>2.08</v>
      </c>
      <c r="LT103" s="1">
        <v>1.85</v>
      </c>
      <c r="LU103" s="1">
        <v>1.25</v>
      </c>
      <c r="LV103" s="1">
        <v>1.3199999999999998</v>
      </c>
      <c r="LW103" s="1">
        <v>2.66</v>
      </c>
      <c r="LX103" s="1">
        <v>1.71</v>
      </c>
      <c r="LY103" s="1">
        <v>1.69</v>
      </c>
      <c r="LZ103" s="1">
        <v>2.6999999999999997</v>
      </c>
      <c r="MA103" s="1">
        <v>3.19</v>
      </c>
      <c r="MB103" s="1">
        <v>3.6599999999999997</v>
      </c>
      <c r="MC103" s="1">
        <v>3.19</v>
      </c>
      <c r="MD103" s="1">
        <v>3.1399999999999997</v>
      </c>
      <c r="ME103" s="1">
        <v>1.6</v>
      </c>
      <c r="MF103" s="1">
        <v>2.1799999999999997</v>
      </c>
      <c r="MG103" s="1">
        <v>0.66</v>
      </c>
      <c r="MH103" s="1">
        <v>0.6</v>
      </c>
      <c r="MI103" s="1">
        <v>1.2999999999999998</v>
      </c>
      <c r="MJ103" s="1">
        <v>1.35</v>
      </c>
      <c r="MK103" s="1">
        <v>1.96</v>
      </c>
      <c r="ML103" s="1">
        <v>2.6</v>
      </c>
      <c r="MM103" s="1">
        <v>2.6999999999999997</v>
      </c>
      <c r="MN103" s="1">
        <v>2.6999999999999997</v>
      </c>
      <c r="MO103" s="1">
        <v>2.94</v>
      </c>
      <c r="MP103" s="1">
        <v>2.6</v>
      </c>
      <c r="MQ103" s="1">
        <v>2.5</v>
      </c>
      <c r="MR103" s="1">
        <v>1.6999999999999997</v>
      </c>
      <c r="MS103" s="1">
        <v>1.23</v>
      </c>
      <c r="MT103">
        <v>6.69</v>
      </c>
      <c r="MU103">
        <v>6.3</v>
      </c>
    </row>
    <row r="104" spans="1:359" ht="15.75" x14ac:dyDescent="0.25">
      <c r="A104" s="8" t="s">
        <v>0</v>
      </c>
      <c r="B104" s="39">
        <v>20489</v>
      </c>
      <c r="C104" s="39" t="s">
        <v>116</v>
      </c>
      <c r="D104" s="39" t="s">
        <v>120</v>
      </c>
      <c r="E104" s="39" t="s">
        <v>171</v>
      </c>
      <c r="F104" s="39" t="s">
        <v>38</v>
      </c>
      <c r="G104" s="39" t="s">
        <v>210</v>
      </c>
      <c r="H104" s="41">
        <v>27</v>
      </c>
      <c r="I104" s="39" t="s">
        <v>119</v>
      </c>
      <c r="J104" s="40">
        <v>51.583300000000001</v>
      </c>
      <c r="K104" s="39">
        <v>16.740868800000001</v>
      </c>
      <c r="L104" s="39">
        <v>80.248652899999996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>
        <v>8.4700000000000006</v>
      </c>
      <c r="GZ104" s="1">
        <v>8.9</v>
      </c>
      <c r="HA104" s="1">
        <v>9.35</v>
      </c>
      <c r="HB104" s="1">
        <v>9.65</v>
      </c>
      <c r="HC104" s="1">
        <v>9.57</v>
      </c>
      <c r="HD104" s="1">
        <v>8</v>
      </c>
      <c r="HE104" s="1">
        <v>8</v>
      </c>
      <c r="HF104" s="1">
        <v>3.42</v>
      </c>
      <c r="HG104" s="1">
        <v>5.04</v>
      </c>
      <c r="HH104" s="1">
        <v>5.5</v>
      </c>
      <c r="HI104" s="1">
        <v>5.45</v>
      </c>
      <c r="HJ104" s="1">
        <v>5.98</v>
      </c>
      <c r="HK104" s="1">
        <v>6.22</v>
      </c>
      <c r="HL104" s="1">
        <v>6.82</v>
      </c>
      <c r="HM104" s="1">
        <v>7.19</v>
      </c>
      <c r="HN104" s="1">
        <v>7.61</v>
      </c>
      <c r="HO104" s="1">
        <v>7.64</v>
      </c>
      <c r="HP104" s="1">
        <v>7.67</v>
      </c>
      <c r="HQ104" s="1">
        <v>7.07</v>
      </c>
      <c r="HR104" s="1">
        <v>6.97</v>
      </c>
      <c r="HS104" s="1">
        <v>6.93</v>
      </c>
      <c r="HT104" s="1">
        <v>7.25</v>
      </c>
      <c r="HU104" s="1">
        <v>7.6</v>
      </c>
      <c r="HV104" s="1">
        <v>8.0500000000000007</v>
      </c>
      <c r="HW104" s="1">
        <v>8.8699999999999992</v>
      </c>
      <c r="HX104" s="1">
        <v>9.19</v>
      </c>
      <c r="HY104" s="1">
        <v>9.65</v>
      </c>
      <c r="HZ104" s="1">
        <v>8.92</v>
      </c>
      <c r="IA104" s="1">
        <v>8.51</v>
      </c>
      <c r="IB104" s="1">
        <v>8.35</v>
      </c>
      <c r="IC104" s="1">
        <v>8.0399999999999991</v>
      </c>
      <c r="ID104" s="1">
        <v>8.5399999999999991</v>
      </c>
      <c r="IE104" s="1">
        <v>9.77</v>
      </c>
      <c r="IF104" s="1">
        <v>10.11</v>
      </c>
      <c r="IG104" s="1">
        <v>10.52</v>
      </c>
      <c r="IH104" s="1">
        <v>10.89</v>
      </c>
      <c r="II104" s="1">
        <v>10.98</v>
      </c>
      <c r="IJ104" s="1">
        <v>11.5</v>
      </c>
      <c r="IK104" s="1">
        <v>11.85</v>
      </c>
      <c r="IL104" s="1">
        <v>11.85</v>
      </c>
      <c r="IM104" s="1">
        <v>11.87</v>
      </c>
      <c r="IN104" s="1">
        <v>11.82</v>
      </c>
      <c r="IO104" s="1">
        <v>10.92</v>
      </c>
      <c r="IP104" s="1">
        <v>8.98</v>
      </c>
      <c r="IQ104" s="1">
        <v>9.8699999999999992</v>
      </c>
      <c r="IR104" s="1">
        <v>10.76</v>
      </c>
      <c r="IS104" s="1">
        <v>11.32</v>
      </c>
      <c r="IT104" s="1">
        <v>11.87</v>
      </c>
      <c r="IU104" s="1">
        <v>12.33</v>
      </c>
      <c r="IV104" s="1">
        <v>12.71</v>
      </c>
      <c r="IW104" s="1">
        <v>13.16</v>
      </c>
      <c r="IX104" s="1">
        <v>13.21</v>
      </c>
      <c r="IY104" s="1">
        <v>12.56</v>
      </c>
      <c r="IZ104" s="1">
        <v>11.42</v>
      </c>
      <c r="JA104" s="1">
        <v>11.15</v>
      </c>
      <c r="JB104" s="1">
        <v>11.11</v>
      </c>
      <c r="JC104" s="1">
        <v>11.86</v>
      </c>
      <c r="JD104" s="1">
        <v>12.64</v>
      </c>
      <c r="JE104" s="1">
        <v>13.07</v>
      </c>
      <c r="JF104" s="1">
        <v>13.45</v>
      </c>
      <c r="JG104" s="1">
        <v>13.7</v>
      </c>
      <c r="JH104" s="1">
        <v>13.96</v>
      </c>
      <c r="JI104" s="1">
        <v>14.64</v>
      </c>
      <c r="JJ104" s="1">
        <v>15.15</v>
      </c>
      <c r="JK104" s="1">
        <v>14.4</v>
      </c>
      <c r="JL104" s="1">
        <v>13.77</v>
      </c>
      <c r="JM104" s="1">
        <v>11.39</v>
      </c>
      <c r="JN104" s="1">
        <v>11.78</v>
      </c>
      <c r="JO104" s="1">
        <v>12.48</v>
      </c>
      <c r="JP104" s="1">
        <v>12.91</v>
      </c>
      <c r="JQ104" s="1">
        <v>13.76</v>
      </c>
      <c r="JR104" s="1">
        <v>13.63</v>
      </c>
      <c r="JS104" s="1">
        <v>14.43</v>
      </c>
      <c r="JT104" s="1">
        <v>14.84</v>
      </c>
      <c r="JU104" s="1">
        <v>15.2</v>
      </c>
      <c r="JV104" s="1">
        <v>15.34</v>
      </c>
      <c r="JW104" s="1">
        <v>14.88</v>
      </c>
      <c r="JX104" s="1">
        <v>14.26</v>
      </c>
      <c r="JY104" s="1">
        <v>12.16</v>
      </c>
      <c r="JZ104" s="1">
        <v>10.23</v>
      </c>
      <c r="KA104" s="1">
        <v>9.7799999999999994</v>
      </c>
      <c r="KB104" s="1">
        <v>10.4</v>
      </c>
      <c r="KC104" s="1">
        <v>11.26</v>
      </c>
      <c r="KD104" s="1">
        <v>10.71</v>
      </c>
      <c r="KE104" s="1"/>
      <c r="KF104" s="1"/>
      <c r="KG104" s="1">
        <v>13.83</v>
      </c>
      <c r="KH104" s="1">
        <v>13.83</v>
      </c>
      <c r="KI104" s="1">
        <v>12.07</v>
      </c>
      <c r="KJ104" s="1">
        <v>11.19</v>
      </c>
      <c r="KK104" s="1">
        <v>10.33</v>
      </c>
      <c r="KL104" s="1">
        <v>7.13</v>
      </c>
      <c r="KM104" s="1">
        <v>7.08</v>
      </c>
      <c r="KN104" s="1">
        <v>7.64</v>
      </c>
      <c r="KO104" s="1">
        <v>8.06</v>
      </c>
      <c r="KP104" s="1">
        <v>8.41</v>
      </c>
      <c r="KQ104" s="1">
        <v>9.0299999999999994</v>
      </c>
      <c r="KR104" s="1">
        <v>9.7100000000000009</v>
      </c>
      <c r="KS104" s="1">
        <v>10.08</v>
      </c>
      <c r="KT104" s="1">
        <v>10.17</v>
      </c>
      <c r="KU104" s="1">
        <v>9.73</v>
      </c>
      <c r="KV104" s="1">
        <v>8.58</v>
      </c>
      <c r="KW104" s="1">
        <v>8.74</v>
      </c>
      <c r="KX104" s="1">
        <v>6.8</v>
      </c>
      <c r="KY104" s="1">
        <v>6.93</v>
      </c>
      <c r="KZ104" s="1">
        <v>5.53</v>
      </c>
      <c r="LA104" s="1">
        <v>7.86</v>
      </c>
      <c r="LB104" s="1">
        <v>7.94</v>
      </c>
      <c r="LC104" s="1">
        <v>8.35</v>
      </c>
      <c r="LD104" s="1">
        <v>8.67</v>
      </c>
      <c r="LE104" s="1">
        <v>9.16</v>
      </c>
      <c r="LF104" s="1">
        <v>9.3699999999999992</v>
      </c>
      <c r="LG104" s="1">
        <v>9.1</v>
      </c>
      <c r="LH104" s="1">
        <v>8.58</v>
      </c>
      <c r="LI104" s="1">
        <v>8.5499999999999989</v>
      </c>
      <c r="LJ104" s="1">
        <v>6.83</v>
      </c>
      <c r="LK104" s="1">
        <v>6.6700000000000008</v>
      </c>
      <c r="LL104" s="1">
        <v>6.98</v>
      </c>
      <c r="LM104" s="1">
        <v>7.33</v>
      </c>
      <c r="LN104" s="1">
        <v>7.48</v>
      </c>
      <c r="LO104" s="1">
        <v>7.73</v>
      </c>
      <c r="LP104" s="1">
        <v>8.3800000000000008</v>
      </c>
      <c r="LQ104" s="1">
        <v>8.6300000000000008</v>
      </c>
      <c r="LR104" s="1">
        <v>9.6999999999999993</v>
      </c>
      <c r="LS104" s="1">
        <v>8.92</v>
      </c>
      <c r="LT104" s="1">
        <v>8.49</v>
      </c>
      <c r="LU104" s="1">
        <v>8.33</v>
      </c>
      <c r="LV104" s="1">
        <v>8.7799999999999994</v>
      </c>
      <c r="LW104" s="1">
        <v>9.370000000000001</v>
      </c>
      <c r="LX104" s="1">
        <v>8.9400000000000013</v>
      </c>
      <c r="LY104" s="1">
        <v>9.06</v>
      </c>
      <c r="LZ104" s="1">
        <v>9.5299999999999994</v>
      </c>
      <c r="MA104" s="1">
        <v>9.68</v>
      </c>
      <c r="MB104" s="1">
        <v>10.66</v>
      </c>
      <c r="MC104" s="1">
        <v>11</v>
      </c>
      <c r="MD104" s="1">
        <v>10.870000000000001</v>
      </c>
      <c r="ME104" s="1">
        <v>9.43</v>
      </c>
      <c r="MF104" s="1">
        <v>8.23</v>
      </c>
      <c r="MG104" s="1">
        <v>4.6099999999999994</v>
      </c>
      <c r="MH104" s="1">
        <v>5.23</v>
      </c>
      <c r="MI104" s="1">
        <v>5.73</v>
      </c>
      <c r="MJ104" s="1">
        <v>6.03</v>
      </c>
      <c r="MK104" s="1">
        <v>6.68</v>
      </c>
      <c r="ML104" s="1">
        <v>6.63</v>
      </c>
      <c r="MM104" s="1">
        <v>7.23</v>
      </c>
      <c r="MN104" s="1">
        <v>7.85</v>
      </c>
      <c r="MO104" s="1">
        <v>8.5500000000000007</v>
      </c>
      <c r="MP104" s="1">
        <v>8.1300000000000008</v>
      </c>
      <c r="MQ104" s="1">
        <v>8.23</v>
      </c>
      <c r="MR104" s="1">
        <v>7.1300000000000008</v>
      </c>
      <c r="MS104" s="1">
        <v>5.13</v>
      </c>
      <c r="MT104">
        <v>7.43</v>
      </c>
      <c r="MU104">
        <v>7.56</v>
      </c>
    </row>
    <row r="105" spans="1:359" ht="15.75" x14ac:dyDescent="0.25">
      <c r="A105" s="8" t="s">
        <v>0</v>
      </c>
      <c r="B105" s="39">
        <v>20553</v>
      </c>
      <c r="C105" s="39" t="s">
        <v>116</v>
      </c>
      <c r="D105" s="39" t="s">
        <v>141</v>
      </c>
      <c r="E105" s="39" t="s">
        <v>172</v>
      </c>
      <c r="F105" s="39" t="s">
        <v>30</v>
      </c>
      <c r="G105" s="39" t="s">
        <v>210</v>
      </c>
      <c r="H105" s="41">
        <v>26</v>
      </c>
      <c r="I105" s="39" t="s">
        <v>119</v>
      </c>
      <c r="J105" s="40">
        <v>60.738799999999998</v>
      </c>
      <c r="K105" s="39">
        <v>16.8184</v>
      </c>
      <c r="L105" s="39">
        <v>80.235299999999995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>
        <v>4.41</v>
      </c>
      <c r="GZ105" s="1">
        <v>5.26</v>
      </c>
      <c r="HA105" s="1">
        <v>6.16</v>
      </c>
      <c r="HB105" s="1">
        <v>6.36</v>
      </c>
      <c r="HC105" s="1">
        <v>5.16</v>
      </c>
      <c r="HD105" s="1">
        <v>3.3</v>
      </c>
      <c r="HE105" s="1">
        <v>2.0099999999999998</v>
      </c>
      <c r="HF105" s="1">
        <v>1.34</v>
      </c>
      <c r="HG105" s="1">
        <v>1.4</v>
      </c>
      <c r="HH105" s="1">
        <v>2.06</v>
      </c>
      <c r="HI105" s="1">
        <v>2.2999999999999998</v>
      </c>
      <c r="HJ105" s="1">
        <v>3.06</v>
      </c>
      <c r="HK105" s="1">
        <v>3.49</v>
      </c>
      <c r="HL105" s="1">
        <v>4.2699999999999996</v>
      </c>
      <c r="HM105" s="1">
        <v>4.91</v>
      </c>
      <c r="HN105" s="1">
        <v>5.67</v>
      </c>
      <c r="HO105" s="1">
        <v>4.5</v>
      </c>
      <c r="HP105" s="1">
        <v>4.5</v>
      </c>
      <c r="HQ105" s="1">
        <v>1.1399999999999999</v>
      </c>
      <c r="HR105" s="1">
        <v>2.04</v>
      </c>
      <c r="HS105" s="1">
        <v>2.27</v>
      </c>
      <c r="HT105" s="1">
        <v>2.87</v>
      </c>
      <c r="HU105" s="1">
        <v>3.27</v>
      </c>
      <c r="HV105" s="1">
        <v>3.67</v>
      </c>
      <c r="HW105" s="1">
        <v>4.3899999999999997</v>
      </c>
      <c r="HX105" s="1">
        <v>4.72</v>
      </c>
      <c r="HY105" s="1">
        <v>5.97</v>
      </c>
      <c r="HZ105" s="1">
        <v>3.47</v>
      </c>
      <c r="IA105" s="1">
        <v>4.83</v>
      </c>
      <c r="IB105" s="1">
        <v>4.32</v>
      </c>
      <c r="IC105" s="1">
        <v>4.17</v>
      </c>
      <c r="ID105" s="1">
        <v>4.76</v>
      </c>
      <c r="IE105" s="1">
        <v>4.87</v>
      </c>
      <c r="IF105" s="1">
        <v>6.42</v>
      </c>
      <c r="IG105" s="1">
        <v>6.89</v>
      </c>
      <c r="IH105" s="1">
        <v>7.35</v>
      </c>
      <c r="II105" s="1">
        <v>7.92</v>
      </c>
      <c r="IJ105" s="1">
        <v>8.7899999999999991</v>
      </c>
      <c r="IK105" s="1">
        <v>9.0500000000000007</v>
      </c>
      <c r="IL105" s="1">
        <v>9.31</v>
      </c>
      <c r="IM105" s="1">
        <v>8.7899999999999991</v>
      </c>
      <c r="IN105" s="1">
        <v>8.81</v>
      </c>
      <c r="IO105" s="1">
        <v>6.18</v>
      </c>
      <c r="IP105" s="1">
        <v>4.71</v>
      </c>
      <c r="IQ105" s="1">
        <v>5.56</v>
      </c>
      <c r="IR105" s="1">
        <v>6.93</v>
      </c>
      <c r="IS105" s="1">
        <v>6.93</v>
      </c>
      <c r="IT105" s="1">
        <v>7.97</v>
      </c>
      <c r="IU105" s="1">
        <v>8.83</v>
      </c>
      <c r="IV105" s="1">
        <v>9.75</v>
      </c>
      <c r="IW105" s="1">
        <v>10.57</v>
      </c>
      <c r="IX105" s="1">
        <v>7.76</v>
      </c>
      <c r="IY105" s="1">
        <v>3.97</v>
      </c>
      <c r="IZ105" s="1">
        <v>4.3899999999999997</v>
      </c>
      <c r="JA105" s="1">
        <v>4.9400000000000004</v>
      </c>
      <c r="JB105" s="1">
        <v>5.24</v>
      </c>
      <c r="JC105" s="1">
        <v>6.76</v>
      </c>
      <c r="JD105" s="1">
        <v>7.61</v>
      </c>
      <c r="JE105" s="1">
        <v>7.8</v>
      </c>
      <c r="JF105" s="1">
        <v>7.83</v>
      </c>
      <c r="JG105" s="1">
        <v>8.94</v>
      </c>
      <c r="JH105" s="1">
        <v>9.75</v>
      </c>
      <c r="JI105" s="1">
        <v>11.38</v>
      </c>
      <c r="JJ105" s="1">
        <v>9.8000000000000007</v>
      </c>
      <c r="JK105" s="1">
        <v>7.81</v>
      </c>
      <c r="JL105" s="1">
        <v>5.31</v>
      </c>
      <c r="JM105" s="1">
        <v>4.1100000000000003</v>
      </c>
      <c r="JN105" s="1">
        <v>4.76</v>
      </c>
      <c r="JO105" s="1">
        <v>5.59</v>
      </c>
      <c r="JP105" s="1">
        <v>5.39</v>
      </c>
      <c r="JQ105" s="1">
        <v>5.7</v>
      </c>
      <c r="JR105" s="1">
        <v>5.25</v>
      </c>
      <c r="JS105" s="1">
        <v>6.73</v>
      </c>
      <c r="JT105" s="1">
        <v>7.76</v>
      </c>
      <c r="JU105" s="1">
        <v>8.5</v>
      </c>
      <c r="JV105" s="1">
        <v>9.1999999999999993</v>
      </c>
      <c r="JW105" s="1">
        <v>9.18</v>
      </c>
      <c r="JX105" s="1">
        <v>7.68</v>
      </c>
      <c r="JY105" s="1">
        <v>5.33</v>
      </c>
      <c r="JZ105" s="1">
        <v>4.1900000000000004</v>
      </c>
      <c r="KA105" s="1">
        <v>4.07</v>
      </c>
      <c r="KB105" s="1">
        <v>4.1399999999999997</v>
      </c>
      <c r="KC105" s="1">
        <v>4.58</v>
      </c>
      <c r="KD105" s="1">
        <v>4.7</v>
      </c>
      <c r="KE105" s="1"/>
      <c r="KF105" s="1"/>
      <c r="KG105" s="1">
        <v>5.01</v>
      </c>
      <c r="KH105" s="1">
        <v>6.33</v>
      </c>
      <c r="KI105" s="1">
        <v>2.7</v>
      </c>
      <c r="KJ105" s="1"/>
      <c r="KK105" s="1">
        <v>1.87</v>
      </c>
      <c r="KL105" s="1">
        <v>1.76</v>
      </c>
      <c r="KM105" s="1">
        <v>0.92</v>
      </c>
      <c r="KN105" s="1">
        <v>1.26</v>
      </c>
      <c r="KO105" s="1">
        <v>2.1</v>
      </c>
      <c r="KP105" s="1">
        <v>2.5099999999999998</v>
      </c>
      <c r="KQ105" s="1">
        <v>3.48</v>
      </c>
      <c r="KR105" s="1">
        <v>3.54</v>
      </c>
      <c r="KS105" s="1">
        <v>5.21</v>
      </c>
      <c r="KT105" s="1">
        <v>5.56</v>
      </c>
      <c r="KU105" s="1">
        <v>5.46</v>
      </c>
      <c r="KV105" s="1">
        <v>3.89</v>
      </c>
      <c r="KW105" s="1">
        <v>3.54</v>
      </c>
      <c r="KX105" s="1">
        <v>2.94</v>
      </c>
      <c r="KY105" s="1">
        <v>3.04</v>
      </c>
      <c r="KZ105" s="1">
        <v>3.06</v>
      </c>
      <c r="LA105" s="1">
        <v>3.17</v>
      </c>
      <c r="LB105" s="1">
        <v>3.01</v>
      </c>
      <c r="LC105" s="1">
        <v>3.27</v>
      </c>
      <c r="LD105" s="1">
        <v>3.4</v>
      </c>
      <c r="LE105" s="1">
        <v>4.0199999999999996</v>
      </c>
      <c r="LF105" s="1">
        <v>4.4000000000000004</v>
      </c>
      <c r="LG105" s="1">
        <v>3.39</v>
      </c>
      <c r="LH105" s="1">
        <v>3.01</v>
      </c>
      <c r="LI105" s="1">
        <v>3.25</v>
      </c>
      <c r="LJ105" s="1">
        <v>2.84</v>
      </c>
      <c r="LK105" s="1">
        <v>2.67</v>
      </c>
      <c r="LL105" s="1">
        <v>2.91</v>
      </c>
      <c r="LM105" s="1">
        <v>3.02</v>
      </c>
      <c r="LN105" s="1">
        <v>3.17</v>
      </c>
      <c r="LO105" s="1">
        <v>3.25</v>
      </c>
      <c r="LP105" s="1">
        <v>4.01</v>
      </c>
      <c r="LQ105" s="1">
        <v>4.0600000000000005</v>
      </c>
      <c r="LR105" s="1">
        <v>4.9000000000000004</v>
      </c>
      <c r="LS105" s="1">
        <v>4.2900000000000009</v>
      </c>
      <c r="LT105" s="1">
        <v>3.7100000000000004</v>
      </c>
      <c r="LU105" s="1">
        <v>3.4499999999999997</v>
      </c>
      <c r="LV105" s="1">
        <v>3.81</v>
      </c>
      <c r="LW105" s="1">
        <v>3.85</v>
      </c>
      <c r="LX105" s="1">
        <v>3.6299999999999994</v>
      </c>
      <c r="LY105" s="1">
        <v>3.73</v>
      </c>
      <c r="LZ105" s="1">
        <v>4.09</v>
      </c>
      <c r="MA105" s="1">
        <v>4.41</v>
      </c>
      <c r="MB105" s="1">
        <v>5.01</v>
      </c>
      <c r="MC105" s="1">
        <v>4.4000000000000004</v>
      </c>
      <c r="MD105" s="1">
        <v>4.9499999999999993</v>
      </c>
      <c r="ME105" s="1">
        <v>3.61</v>
      </c>
      <c r="MF105" s="1">
        <v>2.87</v>
      </c>
      <c r="MG105" s="1">
        <v>2.77</v>
      </c>
      <c r="MH105" s="1">
        <v>2.5100000000000002</v>
      </c>
      <c r="MI105" s="1">
        <v>2.81</v>
      </c>
      <c r="MJ105" s="1">
        <v>2.81</v>
      </c>
      <c r="MK105" s="1">
        <v>3.11</v>
      </c>
      <c r="ML105" s="1">
        <v>3.31</v>
      </c>
      <c r="MM105" s="1">
        <v>3.5100000000000002</v>
      </c>
      <c r="MN105" s="1">
        <v>3.5100000000000002</v>
      </c>
      <c r="MO105" s="1">
        <v>3.04</v>
      </c>
      <c r="MP105" s="1">
        <v>4.01</v>
      </c>
      <c r="MQ105" s="1">
        <v>3.91</v>
      </c>
      <c r="MR105" s="1">
        <v>2.9099999999999997</v>
      </c>
      <c r="MS105" s="1">
        <v>3.13</v>
      </c>
      <c r="MT105">
        <v>4.6100000000000003</v>
      </c>
      <c r="MU105">
        <v>10.18</v>
      </c>
    </row>
    <row r="106" spans="1:359" ht="15.75" x14ac:dyDescent="0.25">
      <c r="A106" s="8" t="s">
        <v>0</v>
      </c>
      <c r="B106" s="39">
        <v>20564</v>
      </c>
      <c r="C106" s="39" t="s">
        <v>116</v>
      </c>
      <c r="D106" s="39" t="s">
        <v>146</v>
      </c>
      <c r="E106" s="39" t="s">
        <v>173</v>
      </c>
      <c r="F106" s="39" t="s">
        <v>28</v>
      </c>
      <c r="G106" s="39" t="s">
        <v>210</v>
      </c>
      <c r="H106" s="41">
        <v>30</v>
      </c>
      <c r="I106" s="39" t="s">
        <v>119</v>
      </c>
      <c r="J106" s="40">
        <v>74.484700000000004</v>
      </c>
      <c r="K106" s="39">
        <v>17.009667100000001</v>
      </c>
      <c r="L106" s="39">
        <v>80.187342599999994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>
        <v>3.27</v>
      </c>
      <c r="GZ106" s="1">
        <v>4.07</v>
      </c>
      <c r="HA106" s="1">
        <v>4.5199999999999996</v>
      </c>
      <c r="HB106" s="1">
        <v>4.7</v>
      </c>
      <c r="HC106" s="1">
        <v>3.26</v>
      </c>
      <c r="HD106" s="1">
        <v>2.52</v>
      </c>
      <c r="HE106" s="1">
        <v>2.89</v>
      </c>
      <c r="HF106" s="1">
        <v>1.67</v>
      </c>
      <c r="HG106" s="1">
        <v>1.55</v>
      </c>
      <c r="HH106" s="1">
        <v>2.02</v>
      </c>
      <c r="HI106" s="1">
        <v>1.62</v>
      </c>
      <c r="HJ106" s="1">
        <v>2.31</v>
      </c>
      <c r="HK106" s="1">
        <v>2.71</v>
      </c>
      <c r="HL106" s="1">
        <v>3.27</v>
      </c>
      <c r="HM106" s="1">
        <v>3.3</v>
      </c>
      <c r="HN106" s="1">
        <v>3.66</v>
      </c>
      <c r="HO106" s="1">
        <v>3.77</v>
      </c>
      <c r="HP106" s="1">
        <v>3.69</v>
      </c>
      <c r="HQ106" s="1">
        <v>2.97</v>
      </c>
      <c r="HR106" s="1">
        <v>2.87</v>
      </c>
      <c r="HS106" s="1">
        <v>2.87</v>
      </c>
      <c r="HT106" s="1">
        <v>3.37</v>
      </c>
      <c r="HU106" s="1">
        <v>3.52</v>
      </c>
      <c r="HV106" s="1">
        <v>3.79</v>
      </c>
      <c r="HW106" s="1">
        <v>4.3</v>
      </c>
      <c r="HX106" s="1">
        <v>4.3499999999999996</v>
      </c>
      <c r="HY106" s="1">
        <v>4.5199999999999996</v>
      </c>
      <c r="HZ106" s="1">
        <v>3.31</v>
      </c>
      <c r="IA106" s="1">
        <v>3.57</v>
      </c>
      <c r="IB106" s="1">
        <v>3.07</v>
      </c>
      <c r="IC106" s="1">
        <v>1.45</v>
      </c>
      <c r="ID106" s="1">
        <v>2.02</v>
      </c>
      <c r="IE106" s="1">
        <v>2.09</v>
      </c>
      <c r="IF106" s="1">
        <v>2.9</v>
      </c>
      <c r="IG106" s="1">
        <v>3.27</v>
      </c>
      <c r="IH106" s="1">
        <v>3.68</v>
      </c>
      <c r="II106" s="1">
        <v>4.1900000000000004</v>
      </c>
      <c r="IJ106" s="1">
        <v>4.7699999999999996</v>
      </c>
      <c r="IK106" s="1">
        <v>4.6900000000000004</v>
      </c>
      <c r="IL106" s="1">
        <v>4.8</v>
      </c>
      <c r="IM106" s="1">
        <v>4.2699999999999996</v>
      </c>
      <c r="IN106" s="1">
        <v>4.42</v>
      </c>
      <c r="IO106" s="1">
        <v>3.16</v>
      </c>
      <c r="IP106" s="1">
        <v>1.67</v>
      </c>
      <c r="IQ106" s="1">
        <v>2.4500000000000002</v>
      </c>
      <c r="IR106" s="1">
        <v>2.98</v>
      </c>
      <c r="IS106" s="1">
        <v>3.26</v>
      </c>
      <c r="IT106" s="1">
        <v>3.86</v>
      </c>
      <c r="IU106" s="1">
        <v>4.5</v>
      </c>
      <c r="IV106" s="1">
        <v>4.91</v>
      </c>
      <c r="IW106" s="1">
        <v>5.0999999999999996</v>
      </c>
      <c r="IX106" s="1">
        <v>4.37</v>
      </c>
      <c r="IY106" s="1">
        <v>2.67</v>
      </c>
      <c r="IZ106" s="1">
        <v>2.08</v>
      </c>
      <c r="JA106" s="1">
        <v>1.57</v>
      </c>
      <c r="JB106" s="1">
        <v>1.37</v>
      </c>
      <c r="JC106" s="1">
        <v>2.19</v>
      </c>
      <c r="JD106" s="1">
        <v>2.73</v>
      </c>
      <c r="JE106" s="1">
        <v>3.16</v>
      </c>
      <c r="JF106" s="1">
        <v>3.67</v>
      </c>
      <c r="JG106" s="1">
        <v>4.32</v>
      </c>
      <c r="JH106" s="1">
        <v>4.55</v>
      </c>
      <c r="JI106" s="1">
        <v>4.84</v>
      </c>
      <c r="JJ106" s="1">
        <v>4.2699999999999996</v>
      </c>
      <c r="JK106" s="1">
        <v>3.07</v>
      </c>
      <c r="JL106" s="1">
        <v>1.49</v>
      </c>
      <c r="JM106" s="1">
        <v>1.2</v>
      </c>
      <c r="JN106" s="1">
        <v>2.06</v>
      </c>
      <c r="JO106" s="1">
        <v>2.5499999999999998</v>
      </c>
      <c r="JP106" s="1">
        <v>2.71</v>
      </c>
      <c r="JQ106" s="1">
        <v>2.97</v>
      </c>
      <c r="JR106" s="1">
        <v>3.09</v>
      </c>
      <c r="JS106" s="1">
        <v>4.7</v>
      </c>
      <c r="JT106" s="1">
        <v>4.13</v>
      </c>
      <c r="JU106" s="1">
        <v>4.2699999999999996</v>
      </c>
      <c r="JV106" s="1">
        <v>4.28</v>
      </c>
      <c r="JW106" s="1">
        <v>4.5999999999999996</v>
      </c>
      <c r="JX106" s="1">
        <v>3.51</v>
      </c>
      <c r="JY106" s="1">
        <v>2.96</v>
      </c>
      <c r="JZ106" s="1">
        <v>1.68</v>
      </c>
      <c r="KA106" s="1">
        <v>1.78</v>
      </c>
      <c r="KB106" s="1">
        <v>2.09</v>
      </c>
      <c r="KC106" s="1">
        <v>2.58</v>
      </c>
      <c r="KD106" s="1">
        <v>2.99</v>
      </c>
      <c r="KE106" s="1"/>
      <c r="KF106" s="1"/>
      <c r="KG106" s="1">
        <v>4</v>
      </c>
      <c r="KH106" s="1">
        <v>3.53</v>
      </c>
      <c r="KI106" s="1">
        <v>1.69</v>
      </c>
      <c r="KJ106" s="1">
        <v>1.24</v>
      </c>
      <c r="KK106" s="1">
        <v>0.84</v>
      </c>
      <c r="KL106" s="1">
        <v>0.75</v>
      </c>
      <c r="KM106" s="1">
        <v>1.28</v>
      </c>
      <c r="KN106" s="1">
        <v>1.25</v>
      </c>
      <c r="KO106" s="1">
        <v>0.82</v>
      </c>
      <c r="KP106" s="1">
        <v>1.91</v>
      </c>
      <c r="KQ106" s="1">
        <v>2.89</v>
      </c>
      <c r="KR106" s="1">
        <v>3.08</v>
      </c>
      <c r="KS106" s="1">
        <v>3.45</v>
      </c>
      <c r="KT106" s="1">
        <v>3.36</v>
      </c>
      <c r="KU106" s="1">
        <v>1.8</v>
      </c>
      <c r="KV106" s="1">
        <v>1.4</v>
      </c>
      <c r="KW106" s="1">
        <v>1.1399999999999999</v>
      </c>
      <c r="KX106" s="1">
        <v>1.66</v>
      </c>
      <c r="KY106" s="1">
        <v>1.45</v>
      </c>
      <c r="KZ106" s="1">
        <v>1.84</v>
      </c>
      <c r="LA106" s="1">
        <v>0.92</v>
      </c>
      <c r="LB106" s="1">
        <v>2.19</v>
      </c>
      <c r="LC106" s="1">
        <v>3.08</v>
      </c>
      <c r="LD106" s="1">
        <v>3.22</v>
      </c>
      <c r="LE106" s="1">
        <v>3.55</v>
      </c>
      <c r="LF106" s="1">
        <v>2.93</v>
      </c>
      <c r="LG106" s="1">
        <v>0.42999999999999994</v>
      </c>
      <c r="LH106" s="1">
        <v>0.82000000000000017</v>
      </c>
      <c r="LI106" s="1">
        <v>1.28</v>
      </c>
      <c r="LJ106" s="1">
        <v>0.90000000000000013</v>
      </c>
      <c r="LK106" s="1">
        <v>1.3299999999999998</v>
      </c>
      <c r="LL106" s="1">
        <v>1.7500000000000002</v>
      </c>
      <c r="LM106" s="1">
        <v>2.2000000000000002</v>
      </c>
      <c r="LN106" s="1">
        <v>2.7300000000000004</v>
      </c>
      <c r="LO106" s="1">
        <v>3</v>
      </c>
      <c r="LP106" s="1">
        <v>3.3</v>
      </c>
      <c r="LQ106" s="1">
        <v>3.1500000000000004</v>
      </c>
      <c r="LR106" s="1">
        <v>3.66</v>
      </c>
      <c r="LS106" s="1">
        <v>3</v>
      </c>
      <c r="LT106" s="1">
        <v>1.43</v>
      </c>
      <c r="LU106" s="1">
        <v>1.18</v>
      </c>
      <c r="LV106" s="1">
        <v>1.3699999999999999</v>
      </c>
      <c r="LW106" s="1">
        <v>2.04</v>
      </c>
      <c r="LX106" s="1">
        <v>1.61</v>
      </c>
      <c r="LY106" s="1">
        <v>1.7500000000000002</v>
      </c>
      <c r="LZ106" s="1">
        <v>2.1799999999999997</v>
      </c>
      <c r="MA106" s="1">
        <v>2.9400000000000004</v>
      </c>
      <c r="MB106" s="1">
        <v>3.3999999999999995</v>
      </c>
      <c r="MC106" s="1">
        <v>3.1399999999999997</v>
      </c>
      <c r="MD106" s="1">
        <v>3.04</v>
      </c>
      <c r="ME106" s="1">
        <v>1.3999999999999997</v>
      </c>
      <c r="MF106" s="1">
        <v>1.25</v>
      </c>
      <c r="MG106" s="1">
        <v>0.7599999999999999</v>
      </c>
      <c r="MH106" s="1">
        <v>0.8</v>
      </c>
      <c r="MI106" s="1">
        <v>1.5999999999999999</v>
      </c>
      <c r="MJ106" s="1">
        <v>2.2000000000000002</v>
      </c>
      <c r="MK106" s="1">
        <v>2.8</v>
      </c>
      <c r="ML106" s="1">
        <v>3.3999999999999995</v>
      </c>
      <c r="MM106" s="1">
        <v>3.7</v>
      </c>
      <c r="MN106" s="1">
        <v>3.5999999999999996</v>
      </c>
      <c r="MO106" s="1">
        <v>3.6899999999999995</v>
      </c>
      <c r="MP106" s="1">
        <v>3.3</v>
      </c>
      <c r="MQ106" s="1">
        <v>2.8</v>
      </c>
      <c r="MR106" s="1">
        <v>0.5</v>
      </c>
      <c r="MS106" s="1">
        <v>0.45</v>
      </c>
      <c r="MT106">
        <v>14.48</v>
      </c>
      <c r="MU106">
        <v>13.18</v>
      </c>
    </row>
    <row r="107" spans="1:359" ht="15.75" x14ac:dyDescent="0.25">
      <c r="A107" s="8" t="s">
        <v>0</v>
      </c>
      <c r="B107" s="39">
        <v>20554</v>
      </c>
      <c r="C107" s="39" t="s">
        <v>116</v>
      </c>
      <c r="D107" s="39" t="s">
        <v>174</v>
      </c>
      <c r="E107" s="39" t="s">
        <v>175</v>
      </c>
      <c r="F107" s="39" t="s">
        <v>67</v>
      </c>
      <c r="G107" s="39" t="s">
        <v>210</v>
      </c>
      <c r="H107" s="41">
        <v>39</v>
      </c>
      <c r="I107" s="39" t="s">
        <v>61</v>
      </c>
      <c r="J107" s="40">
        <v>90.734449999999995</v>
      </c>
      <c r="K107" s="39">
        <v>16.851468000000001</v>
      </c>
      <c r="L107" s="39">
        <v>80.726523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>
        <v>6.38</v>
      </c>
      <c r="GZ107" s="1">
        <v>6.92</v>
      </c>
      <c r="HA107" s="1">
        <v>5.01</v>
      </c>
      <c r="HB107" s="1">
        <v>6.62</v>
      </c>
      <c r="HC107" s="1">
        <v>7.62</v>
      </c>
      <c r="HD107" s="1">
        <v>4.75</v>
      </c>
      <c r="HE107" s="1">
        <v>4.55</v>
      </c>
      <c r="HF107" s="1">
        <v>2.96</v>
      </c>
      <c r="HG107" s="1">
        <v>4.07</v>
      </c>
      <c r="HH107" s="1">
        <v>3.06</v>
      </c>
      <c r="HI107" s="1">
        <v>4.63</v>
      </c>
      <c r="HJ107" s="1">
        <v>4.6100000000000003</v>
      </c>
      <c r="HK107" s="1">
        <v>5.56</v>
      </c>
      <c r="HL107" s="1">
        <v>4.88</v>
      </c>
      <c r="HM107" s="1">
        <v>3.59</v>
      </c>
      <c r="HN107" s="1">
        <v>6.04</v>
      </c>
      <c r="HO107" s="1">
        <v>7.42</v>
      </c>
      <c r="HP107" s="1">
        <v>6.39</v>
      </c>
      <c r="HQ107" s="1">
        <v>5.8</v>
      </c>
      <c r="HR107" s="1">
        <v>4.3899999999999997</v>
      </c>
      <c r="HS107" s="1">
        <v>4.3899999999999997</v>
      </c>
      <c r="HT107" s="1">
        <v>3.44</v>
      </c>
      <c r="HU107" s="1">
        <v>4.96</v>
      </c>
      <c r="HV107" s="1">
        <v>5.69</v>
      </c>
      <c r="HW107" s="1">
        <v>6.39</v>
      </c>
      <c r="HX107" s="1">
        <v>5.62</v>
      </c>
      <c r="HY107" s="1">
        <v>5.24</v>
      </c>
      <c r="HZ107" s="1">
        <v>5.34</v>
      </c>
      <c r="IA107" s="1">
        <v>5.24</v>
      </c>
      <c r="IB107" s="1">
        <v>6.09</v>
      </c>
      <c r="IC107" s="1">
        <v>5.54</v>
      </c>
      <c r="ID107" s="1">
        <v>5.63</v>
      </c>
      <c r="IE107" s="1">
        <v>5.2</v>
      </c>
      <c r="IF107" s="1">
        <v>4.34</v>
      </c>
      <c r="IG107" s="1">
        <v>5.79</v>
      </c>
      <c r="IH107" s="1">
        <v>8.24</v>
      </c>
      <c r="II107" s="1">
        <v>8.8699999999999992</v>
      </c>
      <c r="IJ107" s="1">
        <v>11.24</v>
      </c>
      <c r="IK107" s="1">
        <v>7.64</v>
      </c>
      <c r="IL107" s="1">
        <v>8.99</v>
      </c>
      <c r="IM107" s="1">
        <v>7.66</v>
      </c>
      <c r="IN107" s="1">
        <v>6.7</v>
      </c>
      <c r="IO107" s="1">
        <v>6.32</v>
      </c>
      <c r="IP107" s="1">
        <v>4.45</v>
      </c>
      <c r="IQ107" s="1">
        <v>5.89</v>
      </c>
      <c r="IR107" s="1">
        <v>6.78</v>
      </c>
      <c r="IS107" s="1">
        <v>7.17</v>
      </c>
      <c r="IT107" s="1">
        <v>13.45</v>
      </c>
      <c r="IU107" s="1">
        <v>13.73</v>
      </c>
      <c r="IV107" s="1">
        <v>12.77</v>
      </c>
      <c r="IW107" s="1">
        <v>12.53</v>
      </c>
      <c r="IX107" s="1">
        <v>11.41</v>
      </c>
      <c r="IY107" s="1">
        <v>10.91</v>
      </c>
      <c r="IZ107" s="1">
        <v>9.9700000000000006</v>
      </c>
      <c r="JA107" s="1">
        <v>12.6</v>
      </c>
      <c r="JB107" s="1">
        <v>10.83</v>
      </c>
      <c r="JC107" s="1">
        <v>14.06</v>
      </c>
      <c r="JD107" s="1">
        <v>12.96</v>
      </c>
      <c r="JE107" s="1">
        <v>18.829999999999998</v>
      </c>
      <c r="JF107" s="1">
        <v>19.62</v>
      </c>
      <c r="JG107" s="1">
        <v>22.23</v>
      </c>
      <c r="JH107" s="1">
        <v>18.71</v>
      </c>
      <c r="JI107" s="1">
        <v>14.44</v>
      </c>
      <c r="JJ107" s="1">
        <v>15.15</v>
      </c>
      <c r="JK107" s="1">
        <v>15.51</v>
      </c>
      <c r="JL107" s="1">
        <v>7.34</v>
      </c>
      <c r="JM107" s="1">
        <v>18.09</v>
      </c>
      <c r="JN107" s="1">
        <v>12.85</v>
      </c>
      <c r="JO107" s="1">
        <v>14.91</v>
      </c>
      <c r="JP107" s="1">
        <v>2.0099999999999998</v>
      </c>
      <c r="JQ107" s="1">
        <v>16.670000000000002</v>
      </c>
      <c r="JR107" s="1">
        <v>13.5</v>
      </c>
      <c r="JS107" s="1">
        <v>19.739999999999998</v>
      </c>
      <c r="JT107" s="1">
        <v>16.989999999999998</v>
      </c>
      <c r="JU107" s="1">
        <v>15.27</v>
      </c>
      <c r="JV107" s="1">
        <v>15.03</v>
      </c>
      <c r="JW107" s="1">
        <v>22.3</v>
      </c>
      <c r="JX107" s="1">
        <v>18.13</v>
      </c>
      <c r="JY107" s="1">
        <v>12.71</v>
      </c>
      <c r="JZ107" s="1">
        <v>14.73</v>
      </c>
      <c r="KA107" s="1">
        <v>8.75</v>
      </c>
      <c r="KB107" s="1">
        <v>9.26</v>
      </c>
      <c r="KC107" s="1">
        <v>13.36</v>
      </c>
      <c r="KD107" s="1">
        <v>13.74</v>
      </c>
      <c r="KE107" s="1"/>
      <c r="KF107" s="1"/>
      <c r="KG107" s="1">
        <v>8.33</v>
      </c>
      <c r="KH107" s="1">
        <v>12.86</v>
      </c>
      <c r="KI107" s="1">
        <v>4.12</v>
      </c>
      <c r="KJ107" s="1">
        <v>2.73</v>
      </c>
      <c r="KK107" s="1">
        <v>3.64</v>
      </c>
      <c r="KL107" s="1">
        <v>2.0099999999999998</v>
      </c>
      <c r="KM107" s="1">
        <v>3.38</v>
      </c>
      <c r="KN107" s="1">
        <v>5.3</v>
      </c>
      <c r="KO107" s="1">
        <v>5.42</v>
      </c>
      <c r="KP107" s="1">
        <v>5.58</v>
      </c>
      <c r="KQ107" s="1">
        <v>15.71</v>
      </c>
      <c r="KR107" s="1">
        <v>15.9</v>
      </c>
      <c r="KS107" s="1">
        <v>8.52</v>
      </c>
      <c r="KT107" s="1">
        <v>8.2799999999999994</v>
      </c>
      <c r="KU107" s="1">
        <v>4.3</v>
      </c>
      <c r="KV107" s="1">
        <v>3.86</v>
      </c>
      <c r="KW107" s="1">
        <v>3.42</v>
      </c>
      <c r="KX107" s="1">
        <v>5.99</v>
      </c>
      <c r="KY107" s="1">
        <v>6.08</v>
      </c>
      <c r="KZ107" s="1">
        <v>7.59</v>
      </c>
      <c r="LA107" s="1">
        <v>6.86</v>
      </c>
      <c r="LB107" s="1">
        <v>8.61</v>
      </c>
      <c r="LC107" s="1">
        <v>7.62</v>
      </c>
      <c r="LD107" s="1">
        <v>9.98</v>
      </c>
      <c r="LE107" s="1">
        <v>8.73</v>
      </c>
      <c r="LF107" s="1">
        <v>7.33</v>
      </c>
      <c r="LG107" s="1">
        <v>9.32</v>
      </c>
      <c r="LH107" s="1">
        <v>5.58</v>
      </c>
      <c r="LI107" s="1">
        <v>6.07</v>
      </c>
      <c r="LJ107" s="1">
        <v>6.81</v>
      </c>
      <c r="LK107" s="1">
        <v>6.79</v>
      </c>
      <c r="LL107" s="1">
        <v>7.6000000000000005</v>
      </c>
      <c r="LM107" s="1">
        <v>9.9300000000000015</v>
      </c>
      <c r="LN107" s="1">
        <v>9.7000000000000011</v>
      </c>
      <c r="LO107" s="1">
        <v>16.18</v>
      </c>
      <c r="LP107" s="1">
        <v>12.21</v>
      </c>
      <c r="LQ107" s="1">
        <v>7.5699999999999994</v>
      </c>
      <c r="LR107" s="1">
        <v>12.2</v>
      </c>
      <c r="LS107" s="1">
        <v>6.63</v>
      </c>
      <c r="LT107" s="1">
        <v>7.5699999999999994</v>
      </c>
      <c r="LU107" s="1">
        <v>7.3299999999999992</v>
      </c>
      <c r="LV107" s="1">
        <v>12.56</v>
      </c>
      <c r="LW107" s="1">
        <v>12.510000000000002</v>
      </c>
      <c r="LX107" s="1">
        <v>9.5000000000000018</v>
      </c>
      <c r="LY107" s="1">
        <v>8.66</v>
      </c>
      <c r="LZ107" s="1">
        <v>15.53</v>
      </c>
      <c r="MA107" s="1">
        <v>16.829999999999998</v>
      </c>
      <c r="MB107" s="1">
        <v>17.079999999999998</v>
      </c>
      <c r="MC107" s="1">
        <v>17.509999999999998</v>
      </c>
      <c r="MD107" s="1">
        <v>14.47</v>
      </c>
      <c r="ME107" s="1">
        <v>13.930000000000001</v>
      </c>
      <c r="MF107" s="1">
        <v>8.73</v>
      </c>
      <c r="MG107" s="1">
        <v>7.6099999999999994</v>
      </c>
      <c r="MH107" s="1">
        <v>9.1300000000000008</v>
      </c>
      <c r="MI107" s="1">
        <v>7.1499999999999995</v>
      </c>
      <c r="MJ107" s="1">
        <v>8.08</v>
      </c>
      <c r="MK107" s="1">
        <v>8.9</v>
      </c>
      <c r="ML107" s="1">
        <v>12.430000000000001</v>
      </c>
      <c r="MM107" s="1">
        <v>15.33</v>
      </c>
      <c r="MN107" s="1">
        <v>9.33</v>
      </c>
      <c r="MO107" s="1">
        <v>6.38</v>
      </c>
      <c r="MP107" s="1">
        <v>6.33</v>
      </c>
      <c r="MQ107" s="1">
        <v>6.8299999999999992</v>
      </c>
      <c r="MR107" s="1">
        <v>5.53</v>
      </c>
      <c r="MS107" s="1">
        <v>4.2299999999999995</v>
      </c>
      <c r="MT107">
        <v>36.92</v>
      </c>
      <c r="MU107">
        <v>22.61</v>
      </c>
    </row>
    <row r="108" spans="1:359" ht="15.75" x14ac:dyDescent="0.25">
      <c r="A108" s="8" t="s">
        <v>0</v>
      </c>
      <c r="B108" s="39">
        <v>20558</v>
      </c>
      <c r="C108" s="39" t="s">
        <v>116</v>
      </c>
      <c r="D108" s="39" t="s">
        <v>134</v>
      </c>
      <c r="E108" s="39" t="s">
        <v>176</v>
      </c>
      <c r="F108" s="39" t="s">
        <v>38</v>
      </c>
      <c r="G108" s="39" t="s">
        <v>210</v>
      </c>
      <c r="H108" s="41">
        <v>23</v>
      </c>
      <c r="I108" s="39" t="s">
        <v>119</v>
      </c>
      <c r="J108" s="40">
        <v>76.626824999999997</v>
      </c>
      <c r="K108" s="39">
        <v>17.050775000000002</v>
      </c>
      <c r="L108" s="39">
        <v>80.571872999999997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>
        <v>2.87</v>
      </c>
      <c r="GZ108" s="1">
        <v>3.4</v>
      </c>
      <c r="HA108" s="1">
        <v>2.67</v>
      </c>
      <c r="HB108" s="1">
        <v>3.43</v>
      </c>
      <c r="HC108" s="1">
        <v>3.03</v>
      </c>
      <c r="HD108" s="1">
        <v>1.1399999999999999</v>
      </c>
      <c r="HE108" s="1">
        <v>1.1499999999999999</v>
      </c>
      <c r="HF108" s="1">
        <v>1.22</v>
      </c>
      <c r="HG108" s="1">
        <v>1.1499999999999999</v>
      </c>
      <c r="HH108" s="1">
        <v>1.45</v>
      </c>
      <c r="HI108" s="1">
        <v>1.95</v>
      </c>
      <c r="HJ108" s="1">
        <v>1.85</v>
      </c>
      <c r="HK108" s="1">
        <v>1.94</v>
      </c>
      <c r="HL108" s="1">
        <v>3.19</v>
      </c>
      <c r="HM108" s="1">
        <v>2.4900000000000002</v>
      </c>
      <c r="HN108" s="1">
        <v>2.74</v>
      </c>
      <c r="HO108" s="1">
        <v>2.81</v>
      </c>
      <c r="HP108" s="1">
        <v>1.86</v>
      </c>
      <c r="HQ108" s="1">
        <v>1.24</v>
      </c>
      <c r="HR108" s="1">
        <v>1.56</v>
      </c>
      <c r="HS108" s="1">
        <v>1.46</v>
      </c>
      <c r="HT108" s="1">
        <v>1.96</v>
      </c>
      <c r="HU108" s="1">
        <v>2.09</v>
      </c>
      <c r="HV108" s="1">
        <v>2.1</v>
      </c>
      <c r="HW108" s="1">
        <v>2.41</v>
      </c>
      <c r="HX108" s="1">
        <v>3.23</v>
      </c>
      <c r="HY108" s="1">
        <v>2.89</v>
      </c>
      <c r="HZ108" s="1">
        <v>1.41</v>
      </c>
      <c r="IA108" s="1">
        <v>2</v>
      </c>
      <c r="IB108" s="1">
        <v>1.64</v>
      </c>
      <c r="IC108" s="1">
        <v>1.25</v>
      </c>
      <c r="ID108" s="1">
        <v>1.35</v>
      </c>
      <c r="IE108" s="1">
        <v>1.92</v>
      </c>
      <c r="IF108" s="1">
        <v>2.44</v>
      </c>
      <c r="IG108" s="1">
        <v>3.3</v>
      </c>
      <c r="IH108" s="1">
        <v>3.72</v>
      </c>
      <c r="II108" s="1">
        <v>4.17</v>
      </c>
      <c r="IJ108" s="1">
        <v>4.34</v>
      </c>
      <c r="IK108" s="1">
        <v>4.3499999999999996</v>
      </c>
      <c r="IL108" s="1">
        <v>4.41</v>
      </c>
      <c r="IM108" s="1">
        <v>2.93</v>
      </c>
      <c r="IN108" s="1">
        <v>2.8</v>
      </c>
      <c r="IO108" s="1">
        <v>1.5</v>
      </c>
      <c r="IP108" s="1">
        <v>1.55</v>
      </c>
      <c r="IQ108" s="1">
        <v>1.92</v>
      </c>
      <c r="IR108" s="1">
        <v>2.14</v>
      </c>
      <c r="IS108" s="1">
        <v>3.2</v>
      </c>
      <c r="IT108" s="1">
        <v>3.62</v>
      </c>
      <c r="IU108" s="1">
        <v>3.99</v>
      </c>
      <c r="IV108" s="1">
        <v>4.4400000000000004</v>
      </c>
      <c r="IW108" s="1">
        <v>3.95</v>
      </c>
      <c r="IX108" s="1">
        <v>3.84</v>
      </c>
      <c r="IY108" s="1">
        <v>1.73</v>
      </c>
      <c r="IZ108" s="1">
        <v>1.21</v>
      </c>
      <c r="JA108" s="1">
        <v>1.18</v>
      </c>
      <c r="JB108" s="1">
        <v>1.42</v>
      </c>
      <c r="JC108" s="1">
        <v>2.2599999999999998</v>
      </c>
      <c r="JD108" s="1">
        <v>2.4700000000000002</v>
      </c>
      <c r="JE108" s="1">
        <v>2.54</v>
      </c>
      <c r="JF108" s="1">
        <v>2.69</v>
      </c>
      <c r="JG108" s="1">
        <v>2.5099999999999998</v>
      </c>
      <c r="JH108" s="1">
        <v>2.41</v>
      </c>
      <c r="JI108" s="1">
        <v>2.85</v>
      </c>
      <c r="JJ108" s="1">
        <v>2.16</v>
      </c>
      <c r="JK108" s="1">
        <v>1.59</v>
      </c>
      <c r="JL108" s="1">
        <v>0.93</v>
      </c>
      <c r="JM108" s="1">
        <v>1.35</v>
      </c>
      <c r="JN108" s="1">
        <v>2.0499999999999998</v>
      </c>
      <c r="JO108" s="1">
        <v>2.37</v>
      </c>
      <c r="JP108" s="1">
        <v>2.0099999999999998</v>
      </c>
      <c r="JQ108" s="1">
        <v>2.67</v>
      </c>
      <c r="JR108" s="1">
        <v>2.21</v>
      </c>
      <c r="JS108" s="1">
        <v>3.23</v>
      </c>
      <c r="JT108" s="1">
        <v>3.76</v>
      </c>
      <c r="JU108" s="1">
        <v>3.77</v>
      </c>
      <c r="JV108" s="1">
        <v>4.26</v>
      </c>
      <c r="JW108" s="1">
        <v>4.28</v>
      </c>
      <c r="JX108" s="1">
        <v>2.3199999999999998</v>
      </c>
      <c r="JY108" s="1">
        <v>3.48</v>
      </c>
      <c r="JZ108" s="1">
        <v>1.37</v>
      </c>
      <c r="KA108" s="1">
        <v>1.59</v>
      </c>
      <c r="KB108" s="1">
        <v>2.08</v>
      </c>
      <c r="KC108" s="1">
        <v>2.21</v>
      </c>
      <c r="KD108" s="1">
        <v>2.64</v>
      </c>
      <c r="KE108" s="1"/>
      <c r="KF108" s="1"/>
      <c r="KG108" s="1">
        <v>2.91</v>
      </c>
      <c r="KH108" s="1">
        <v>2.54</v>
      </c>
      <c r="KI108" s="1">
        <v>1.46</v>
      </c>
      <c r="KJ108" s="1">
        <v>1.17</v>
      </c>
      <c r="KK108" s="1">
        <v>1.1599999999999999</v>
      </c>
      <c r="KL108" s="1">
        <v>1.29</v>
      </c>
      <c r="KM108" s="1">
        <v>2.16</v>
      </c>
      <c r="KN108" s="1">
        <v>2.12</v>
      </c>
      <c r="KO108" s="1">
        <v>1.98</v>
      </c>
      <c r="KP108" s="1">
        <v>2.42</v>
      </c>
      <c r="KQ108" s="1">
        <v>2.93</v>
      </c>
      <c r="KR108" s="1">
        <v>3.01</v>
      </c>
      <c r="KS108" s="1">
        <v>3.96</v>
      </c>
      <c r="KT108" s="1">
        <v>3.82</v>
      </c>
      <c r="KU108" s="1">
        <v>2.8</v>
      </c>
      <c r="KV108" s="1">
        <v>2.64</v>
      </c>
      <c r="KW108" s="1">
        <v>2.62</v>
      </c>
      <c r="KX108" s="1">
        <v>1.44</v>
      </c>
      <c r="KY108" s="1">
        <v>1.23</v>
      </c>
      <c r="KZ108" s="1">
        <v>3.7</v>
      </c>
      <c r="LA108" s="1">
        <v>3.94</v>
      </c>
      <c r="LB108" s="1">
        <v>3.76</v>
      </c>
      <c r="LC108" s="1">
        <v>3.95</v>
      </c>
      <c r="LD108" s="1">
        <v>1.01</v>
      </c>
      <c r="LE108" s="1">
        <v>3.86</v>
      </c>
      <c r="LF108" s="1">
        <v>4.01</v>
      </c>
      <c r="LG108" s="1">
        <v>2.96</v>
      </c>
      <c r="LH108" s="1">
        <v>0.88</v>
      </c>
      <c r="LI108" s="1">
        <v>1.38</v>
      </c>
      <c r="LJ108" s="1">
        <v>1.9900000000000002</v>
      </c>
      <c r="LK108" s="1">
        <v>1.41</v>
      </c>
      <c r="LL108" s="1">
        <v>1.65</v>
      </c>
      <c r="LM108" s="1">
        <v>1.46</v>
      </c>
      <c r="LN108" s="1">
        <v>1.63</v>
      </c>
      <c r="LO108" s="1">
        <v>1.46</v>
      </c>
      <c r="LP108" s="1">
        <v>1.75</v>
      </c>
      <c r="LQ108" s="1">
        <v>1.6800000000000002</v>
      </c>
      <c r="LR108" s="1">
        <v>2.35</v>
      </c>
      <c r="LS108" s="1">
        <v>0.82000000000000006</v>
      </c>
      <c r="LT108" s="1">
        <v>0.97</v>
      </c>
      <c r="LU108" s="1">
        <v>1.56</v>
      </c>
      <c r="LV108" s="1">
        <v>1.6400000000000001</v>
      </c>
      <c r="LW108" s="1">
        <v>2.9000000000000004</v>
      </c>
      <c r="LX108" s="1">
        <v>1.81</v>
      </c>
      <c r="LY108" s="1">
        <v>1.88</v>
      </c>
      <c r="LZ108" s="1">
        <v>2.0100000000000002</v>
      </c>
      <c r="MA108" s="1">
        <v>2.7600000000000002</v>
      </c>
      <c r="MB108" s="1">
        <v>4.4799999999999995</v>
      </c>
      <c r="MC108" s="1">
        <v>4.29</v>
      </c>
      <c r="MD108" s="1">
        <v>4.2999999999999989</v>
      </c>
      <c r="ME108" s="1">
        <v>1.1600000000000001</v>
      </c>
      <c r="MF108" s="1">
        <v>0.45</v>
      </c>
      <c r="MG108" s="1">
        <v>1.06</v>
      </c>
      <c r="MH108" s="1">
        <v>1.46</v>
      </c>
      <c r="MI108" s="1">
        <v>1.56</v>
      </c>
      <c r="MJ108" s="1">
        <v>0.76</v>
      </c>
      <c r="MK108" s="1">
        <v>1.7600000000000002</v>
      </c>
      <c r="ML108" s="1">
        <v>1.8599999999999999</v>
      </c>
      <c r="MM108" s="1">
        <v>1.8599999999999999</v>
      </c>
      <c r="MN108" s="1">
        <v>1.7600000000000002</v>
      </c>
      <c r="MO108" s="1">
        <v>3.42</v>
      </c>
      <c r="MP108" s="1">
        <v>2.06</v>
      </c>
      <c r="MQ108" s="1">
        <v>1.46</v>
      </c>
      <c r="MR108" s="1">
        <v>1.3599999999999999</v>
      </c>
      <c r="MS108" s="1">
        <v>1.36</v>
      </c>
      <c r="MT108">
        <v>5.22</v>
      </c>
      <c r="MU108">
        <v>5.77</v>
      </c>
    </row>
    <row r="109" spans="1:359" ht="15.75" x14ac:dyDescent="0.25">
      <c r="A109" s="8" t="s">
        <v>0</v>
      </c>
      <c r="B109" s="39">
        <v>20536</v>
      </c>
      <c r="C109" s="39" t="s">
        <v>116</v>
      </c>
      <c r="D109" s="39" t="s">
        <v>138</v>
      </c>
      <c r="E109" s="39" t="s">
        <v>177</v>
      </c>
      <c r="F109" s="39" t="s">
        <v>28</v>
      </c>
      <c r="G109" s="39" t="s">
        <v>210</v>
      </c>
      <c r="H109" s="41">
        <v>30</v>
      </c>
      <c r="I109" s="39" t="s">
        <v>119</v>
      </c>
      <c r="J109" s="40">
        <v>46.1526</v>
      </c>
      <c r="K109" s="39">
        <v>16.800118600000001</v>
      </c>
      <c r="L109" s="39">
        <v>80.353019099999997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>
        <v>4.2</v>
      </c>
      <c r="GZ109" s="1">
        <v>4.8899999999999997</v>
      </c>
      <c r="HA109" s="1">
        <v>5.65</v>
      </c>
      <c r="HB109" s="1">
        <v>5.8</v>
      </c>
      <c r="HC109" s="1">
        <v>5.45</v>
      </c>
      <c r="HD109" s="1">
        <v>4.1900000000000004</v>
      </c>
      <c r="HE109" s="1">
        <v>2.67</v>
      </c>
      <c r="HF109" s="1">
        <v>1.18</v>
      </c>
      <c r="HG109" s="1">
        <v>1.55</v>
      </c>
      <c r="HH109" s="1">
        <v>1.88</v>
      </c>
      <c r="HI109" s="1">
        <v>2.2799999999999998</v>
      </c>
      <c r="HJ109" s="1">
        <v>3.26</v>
      </c>
      <c r="HK109" s="1">
        <v>3.66</v>
      </c>
      <c r="HL109" s="1">
        <v>4.2</v>
      </c>
      <c r="HM109" s="1">
        <v>4.8600000000000003</v>
      </c>
      <c r="HN109" s="1">
        <v>5.45</v>
      </c>
      <c r="HO109" s="1">
        <v>5.12</v>
      </c>
      <c r="HP109" s="1">
        <v>4.92</v>
      </c>
      <c r="HQ109" s="1">
        <v>3.3</v>
      </c>
      <c r="HR109" s="1">
        <v>3.3</v>
      </c>
      <c r="HS109" s="1">
        <v>3.33</v>
      </c>
      <c r="HT109" s="1">
        <v>3.8</v>
      </c>
      <c r="HU109" s="1">
        <v>3.7</v>
      </c>
      <c r="HV109" s="1">
        <v>4.5999999999999996</v>
      </c>
      <c r="HW109" s="1">
        <v>5.18</v>
      </c>
      <c r="HX109" s="1">
        <v>5.56</v>
      </c>
      <c r="HY109" s="1">
        <v>5.96</v>
      </c>
      <c r="HZ109" s="1">
        <v>2.9</v>
      </c>
      <c r="IA109" s="1">
        <v>2.56</v>
      </c>
      <c r="IB109" s="1">
        <v>2.4</v>
      </c>
      <c r="IC109" s="1">
        <v>1.68</v>
      </c>
      <c r="ID109" s="1">
        <v>1.74</v>
      </c>
      <c r="IE109" s="1">
        <v>3</v>
      </c>
      <c r="IF109" s="1">
        <v>3.62</v>
      </c>
      <c r="IG109" s="1">
        <v>4.25</v>
      </c>
      <c r="IH109" s="1">
        <v>4.99</v>
      </c>
      <c r="II109" s="1">
        <v>5.41</v>
      </c>
      <c r="IJ109" s="1">
        <v>6.46</v>
      </c>
      <c r="IK109" s="1">
        <v>6.93</v>
      </c>
      <c r="IL109" s="1">
        <v>7.23</v>
      </c>
      <c r="IM109" s="1">
        <v>6.96</v>
      </c>
      <c r="IN109" s="1">
        <v>6.63</v>
      </c>
      <c r="IO109" s="1">
        <v>6.05</v>
      </c>
      <c r="IP109" s="1">
        <v>3.44</v>
      </c>
      <c r="IQ109" s="1">
        <v>3.75</v>
      </c>
      <c r="IR109" s="1">
        <v>4.8899999999999997</v>
      </c>
      <c r="IS109" s="1">
        <v>5.08</v>
      </c>
      <c r="IT109" s="1">
        <v>5.95</v>
      </c>
      <c r="IU109" s="1">
        <v>6.51</v>
      </c>
      <c r="IV109" s="1">
        <v>7.52</v>
      </c>
      <c r="IW109" s="1">
        <v>7.97</v>
      </c>
      <c r="IX109" s="1">
        <v>7.54</v>
      </c>
      <c r="IY109" s="1">
        <v>5.2</v>
      </c>
      <c r="IZ109" s="1">
        <v>4.22</v>
      </c>
      <c r="JA109" s="1">
        <v>4.76</v>
      </c>
      <c r="JB109" s="1">
        <v>3.66</v>
      </c>
      <c r="JC109" s="1">
        <v>4.51</v>
      </c>
      <c r="JD109" s="1">
        <v>5.35</v>
      </c>
      <c r="JE109" s="1">
        <v>5.82</v>
      </c>
      <c r="JF109" s="1">
        <v>6.42</v>
      </c>
      <c r="JG109" s="1">
        <v>6.98</v>
      </c>
      <c r="JH109" s="1">
        <v>7.15</v>
      </c>
      <c r="JI109" s="1">
        <v>7.37</v>
      </c>
      <c r="JJ109" s="1">
        <v>7.98</v>
      </c>
      <c r="JK109" s="1">
        <v>7.45</v>
      </c>
      <c r="JL109" s="1">
        <v>3.7</v>
      </c>
      <c r="JM109" s="1">
        <v>3.83</v>
      </c>
      <c r="JN109" s="1">
        <v>4.53</v>
      </c>
      <c r="JO109" s="1">
        <v>5.28</v>
      </c>
      <c r="JP109" s="1">
        <v>5.01</v>
      </c>
      <c r="JQ109" s="1">
        <v>5.49</v>
      </c>
      <c r="JR109" s="1">
        <v>5.05</v>
      </c>
      <c r="JS109" s="1">
        <v>5.85</v>
      </c>
      <c r="JT109" s="1">
        <v>6.68</v>
      </c>
      <c r="JU109" s="1">
        <v>7.4</v>
      </c>
      <c r="JV109" s="1">
        <v>8.0500000000000007</v>
      </c>
      <c r="JW109" s="1">
        <v>8.7100000000000009</v>
      </c>
      <c r="JX109" s="1">
        <v>8.3000000000000007</v>
      </c>
      <c r="JY109" s="1">
        <v>6.43</v>
      </c>
      <c r="JZ109" s="1">
        <v>4.8</v>
      </c>
      <c r="KA109" s="1">
        <v>4.93</v>
      </c>
      <c r="KB109" s="1">
        <v>5.45</v>
      </c>
      <c r="KC109" s="1">
        <v>5.82</v>
      </c>
      <c r="KD109" s="1">
        <v>6.08</v>
      </c>
      <c r="KE109" s="1"/>
      <c r="KF109" s="1"/>
      <c r="KG109" s="1">
        <v>6.8</v>
      </c>
      <c r="KH109" s="1">
        <v>6.78</v>
      </c>
      <c r="KI109" s="1">
        <v>5.0999999999999996</v>
      </c>
      <c r="KJ109" s="1">
        <v>3.01</v>
      </c>
      <c r="KK109" s="1">
        <v>2.5299999999999998</v>
      </c>
      <c r="KL109" s="1">
        <v>0.83</v>
      </c>
      <c r="KM109" s="1">
        <v>1.85</v>
      </c>
      <c r="KN109" s="1">
        <v>2.0699999999999998</v>
      </c>
      <c r="KO109" s="1">
        <v>2.89</v>
      </c>
      <c r="KP109" s="1">
        <v>3.4</v>
      </c>
      <c r="KQ109" s="1">
        <v>4.24</v>
      </c>
      <c r="KR109" s="1">
        <v>4.58</v>
      </c>
      <c r="KS109" s="1">
        <v>5.63</v>
      </c>
      <c r="KT109" s="1">
        <v>5.57</v>
      </c>
      <c r="KU109" s="1">
        <v>4.7699999999999996</v>
      </c>
      <c r="KV109" s="1">
        <v>3.15</v>
      </c>
      <c r="KW109" s="1">
        <v>2.71</v>
      </c>
      <c r="KX109" s="1">
        <v>2.2400000000000002</v>
      </c>
      <c r="KY109" s="1">
        <v>2.56</v>
      </c>
      <c r="KZ109" s="1">
        <v>3.4</v>
      </c>
      <c r="LA109" s="1">
        <v>3.39</v>
      </c>
      <c r="LB109" s="1">
        <v>3.46</v>
      </c>
      <c r="LC109" s="1">
        <v>3.98</v>
      </c>
      <c r="LD109" s="1">
        <v>4.3</v>
      </c>
      <c r="LE109" s="1">
        <v>4.78</v>
      </c>
      <c r="LF109" s="1">
        <v>5.53</v>
      </c>
      <c r="LG109" s="1">
        <v>3.48</v>
      </c>
      <c r="LH109" s="1">
        <v>3.63</v>
      </c>
      <c r="LI109" s="1">
        <v>3.6</v>
      </c>
      <c r="LJ109" s="1">
        <v>2.0300000000000002</v>
      </c>
      <c r="LK109" s="1">
        <v>2.61</v>
      </c>
      <c r="LL109" s="1">
        <v>3.1300000000000003</v>
      </c>
      <c r="LM109" s="1">
        <v>3.61</v>
      </c>
      <c r="LN109" s="1">
        <v>4.01</v>
      </c>
      <c r="LO109" s="1">
        <v>3.5800000000000005</v>
      </c>
      <c r="LP109" s="1">
        <v>4.8</v>
      </c>
      <c r="LQ109" s="1">
        <v>4.9899999999999993</v>
      </c>
      <c r="LR109" s="1">
        <v>6.02</v>
      </c>
      <c r="LS109" s="1">
        <v>5.33</v>
      </c>
      <c r="LT109" s="1">
        <v>4.01</v>
      </c>
      <c r="LU109" s="1">
        <v>3.78</v>
      </c>
      <c r="LV109" s="1">
        <v>4.3</v>
      </c>
      <c r="LW109" s="1">
        <v>5.3199999999999994</v>
      </c>
      <c r="LX109" s="1">
        <v>4.6899999999999995</v>
      </c>
      <c r="LY109" s="1">
        <v>4.47</v>
      </c>
      <c r="LZ109" s="1">
        <v>4.83</v>
      </c>
      <c r="MA109" s="1">
        <v>5.35</v>
      </c>
      <c r="MB109" s="1">
        <v>6.38</v>
      </c>
      <c r="MC109" s="1">
        <v>6.96</v>
      </c>
      <c r="MD109" s="1">
        <v>6.27</v>
      </c>
      <c r="ME109" s="1">
        <v>4.8</v>
      </c>
      <c r="MF109" s="1">
        <v>3.22</v>
      </c>
      <c r="MG109" s="1">
        <v>1.81</v>
      </c>
      <c r="MH109" s="1">
        <v>1.7</v>
      </c>
      <c r="MI109" s="1">
        <v>2.4300000000000002</v>
      </c>
      <c r="MJ109" s="1">
        <v>3.1300000000000003</v>
      </c>
      <c r="MK109" s="1">
        <v>3.53</v>
      </c>
      <c r="ML109" s="1">
        <v>4.0299999999999994</v>
      </c>
      <c r="MM109" s="1">
        <v>4.33</v>
      </c>
      <c r="MN109" s="1">
        <v>4.63</v>
      </c>
      <c r="MO109" s="1">
        <v>4.4000000000000004</v>
      </c>
      <c r="MP109" s="1">
        <v>4.8499999999999996</v>
      </c>
      <c r="MQ109" s="1">
        <v>4.5999999999999996</v>
      </c>
      <c r="MR109" s="1">
        <v>3.2</v>
      </c>
      <c r="MS109" s="1">
        <v>2.7</v>
      </c>
      <c r="MT109">
        <v>1.32</v>
      </c>
      <c r="MU109">
        <v>1.2999999999999998</v>
      </c>
    </row>
    <row r="110" spans="1:359" ht="15.75" x14ac:dyDescent="0.25">
      <c r="A110" s="8" t="s">
        <v>0</v>
      </c>
      <c r="B110" s="39">
        <v>20514</v>
      </c>
      <c r="C110" s="39" t="s">
        <v>116</v>
      </c>
      <c r="D110" s="39" t="s">
        <v>127</v>
      </c>
      <c r="E110" s="39" t="s">
        <v>178</v>
      </c>
      <c r="F110" s="39" t="s">
        <v>157</v>
      </c>
      <c r="G110" s="39" t="s">
        <v>210</v>
      </c>
      <c r="H110" s="41">
        <v>30</v>
      </c>
      <c r="I110" s="39" t="s">
        <v>119</v>
      </c>
      <c r="J110" s="40">
        <v>84.453249999999997</v>
      </c>
      <c r="K110" s="39">
        <v>16.961690999999998</v>
      </c>
      <c r="L110" s="39">
        <v>80.061102000000005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>
        <v>1.1100000000000001</v>
      </c>
      <c r="GZ110" s="1">
        <v>1.56</v>
      </c>
      <c r="HA110" s="1">
        <v>2.52</v>
      </c>
      <c r="HB110" s="1">
        <v>2.96</v>
      </c>
      <c r="HC110" s="1">
        <v>2.0299999999999998</v>
      </c>
      <c r="HD110" s="1">
        <v>1.1000000000000001</v>
      </c>
      <c r="HE110" s="1">
        <v>0.99</v>
      </c>
      <c r="HF110" s="1">
        <v>0.56000000000000005</v>
      </c>
      <c r="HG110" s="1">
        <v>0.95</v>
      </c>
      <c r="HH110" s="1">
        <v>1.63</v>
      </c>
      <c r="HI110" s="1">
        <v>1.1000000000000001</v>
      </c>
      <c r="HJ110" s="1">
        <v>1.01</v>
      </c>
      <c r="HK110" s="1">
        <v>1.1299999999999999</v>
      </c>
      <c r="HL110" s="1">
        <v>1.1200000000000001</v>
      </c>
      <c r="HM110" s="1">
        <v>1.24</v>
      </c>
      <c r="HN110" s="1">
        <v>1.92</v>
      </c>
      <c r="HO110" s="1">
        <v>1.98</v>
      </c>
      <c r="HP110" s="1">
        <v>1.1200000000000001</v>
      </c>
      <c r="HQ110" s="1">
        <v>0.89</v>
      </c>
      <c r="HR110" s="1">
        <v>0.92</v>
      </c>
      <c r="HS110" s="1">
        <v>0.87</v>
      </c>
      <c r="HT110" s="1">
        <v>1.02</v>
      </c>
      <c r="HU110" s="1">
        <v>1.1499999999999999</v>
      </c>
      <c r="HV110" s="1">
        <v>1.19</v>
      </c>
      <c r="HW110" s="1">
        <v>0.97</v>
      </c>
      <c r="HX110" s="1">
        <v>1.22</v>
      </c>
      <c r="HY110" s="1">
        <v>1.72</v>
      </c>
      <c r="HZ110" s="1">
        <v>0.89</v>
      </c>
      <c r="IA110" s="1">
        <v>1.37</v>
      </c>
      <c r="IB110" s="1">
        <v>0.75</v>
      </c>
      <c r="IC110" s="1">
        <v>0.88</v>
      </c>
      <c r="ID110" s="1">
        <v>0.91</v>
      </c>
      <c r="IE110" s="1">
        <v>1.49</v>
      </c>
      <c r="IF110" s="1">
        <v>2.16</v>
      </c>
      <c r="IG110" s="1">
        <v>2.44</v>
      </c>
      <c r="IH110" s="1">
        <v>3.3</v>
      </c>
      <c r="II110" s="1">
        <v>3.95</v>
      </c>
      <c r="IJ110" s="1">
        <v>4.84</v>
      </c>
      <c r="IK110" s="1">
        <v>5.03</v>
      </c>
      <c r="IL110" s="1">
        <v>5.0599999999999996</v>
      </c>
      <c r="IM110" s="1">
        <v>4.9400000000000004</v>
      </c>
      <c r="IN110" s="1">
        <v>4.05</v>
      </c>
      <c r="IO110" s="1">
        <v>1.01</v>
      </c>
      <c r="IP110" s="1">
        <v>1.01</v>
      </c>
      <c r="IQ110" s="1">
        <v>0.93</v>
      </c>
      <c r="IR110" s="1">
        <v>1.04</v>
      </c>
      <c r="IS110" s="1">
        <v>1.1599999999999999</v>
      </c>
      <c r="IT110" s="1">
        <v>1.02</v>
      </c>
      <c r="IU110" s="1">
        <v>1.1000000000000001</v>
      </c>
      <c r="IV110" s="1">
        <v>1.42</v>
      </c>
      <c r="IW110" s="1">
        <v>2.44</v>
      </c>
      <c r="IX110" s="1">
        <v>2.37</v>
      </c>
      <c r="IY110" s="1">
        <v>1.48</v>
      </c>
      <c r="IZ110" s="1">
        <v>0.98</v>
      </c>
      <c r="JA110" s="1">
        <v>0.94</v>
      </c>
      <c r="JB110" s="1">
        <v>0.84</v>
      </c>
      <c r="JC110" s="1">
        <v>1</v>
      </c>
      <c r="JD110" s="1">
        <v>1.46</v>
      </c>
      <c r="JE110" s="1">
        <v>1.32</v>
      </c>
      <c r="JF110" s="1">
        <v>1.1499999999999999</v>
      </c>
      <c r="JG110" s="1">
        <v>1.1499999999999999</v>
      </c>
      <c r="JH110" s="1">
        <v>1.1599999999999999</v>
      </c>
      <c r="JI110" s="1">
        <v>2.15</v>
      </c>
      <c r="JJ110" s="1">
        <v>1.47</v>
      </c>
      <c r="JK110" s="1">
        <v>1.19</v>
      </c>
      <c r="JL110" s="1">
        <v>1.05</v>
      </c>
      <c r="JM110" s="1">
        <v>0.98</v>
      </c>
      <c r="JN110" s="1">
        <v>0.95</v>
      </c>
      <c r="JO110" s="1">
        <v>0.92</v>
      </c>
      <c r="JP110" s="1">
        <v>1.07</v>
      </c>
      <c r="JQ110" s="1">
        <v>0.99</v>
      </c>
      <c r="JR110" s="1">
        <v>0.98</v>
      </c>
      <c r="JS110" s="1">
        <v>1.47</v>
      </c>
      <c r="JT110" s="1">
        <v>1.21</v>
      </c>
      <c r="JU110" s="1">
        <v>2.06</v>
      </c>
      <c r="JV110" s="1">
        <v>2.63</v>
      </c>
      <c r="JW110" s="1">
        <v>2.76</v>
      </c>
      <c r="JX110" s="1">
        <v>1.1200000000000001</v>
      </c>
      <c r="JY110" s="1">
        <v>0.94</v>
      </c>
      <c r="JZ110" s="1">
        <v>0.84</v>
      </c>
      <c r="KA110" s="1">
        <v>0.77</v>
      </c>
      <c r="KB110" s="1">
        <v>0.93</v>
      </c>
      <c r="KC110" s="1">
        <v>0.93</v>
      </c>
      <c r="KD110" s="1">
        <v>1.34</v>
      </c>
      <c r="KE110" s="1"/>
      <c r="KF110" s="1"/>
      <c r="KG110" s="1">
        <v>1.83</v>
      </c>
      <c r="KH110" s="1">
        <v>1.68</v>
      </c>
      <c r="KI110" s="1">
        <v>1</v>
      </c>
      <c r="KJ110" s="1">
        <v>0.37</v>
      </c>
      <c r="KK110" s="1">
        <v>0.85</v>
      </c>
      <c r="KL110" s="1">
        <v>0.93</v>
      </c>
      <c r="KM110" s="1">
        <v>0.98</v>
      </c>
      <c r="KN110" s="1">
        <v>0.82</v>
      </c>
      <c r="KO110" s="1">
        <v>0.79</v>
      </c>
      <c r="KP110" s="1">
        <v>0.78</v>
      </c>
      <c r="KQ110" s="1">
        <v>0.96</v>
      </c>
      <c r="KR110" s="1">
        <v>1.21</v>
      </c>
      <c r="KS110" s="1">
        <v>1.74</v>
      </c>
      <c r="KT110" s="1">
        <v>1.52</v>
      </c>
      <c r="KU110" s="1">
        <v>1.1499999999999999</v>
      </c>
      <c r="KV110" s="1">
        <v>0.81</v>
      </c>
      <c r="KW110" s="1">
        <v>0.57999999999999996</v>
      </c>
      <c r="KX110" s="1">
        <v>0.93</v>
      </c>
      <c r="KY110" s="1">
        <v>0.94</v>
      </c>
      <c r="KZ110" s="1">
        <v>1.22</v>
      </c>
      <c r="LA110" s="1">
        <v>0.94</v>
      </c>
      <c r="LB110" s="1">
        <v>0.92</v>
      </c>
      <c r="LC110" s="1">
        <v>0.99</v>
      </c>
      <c r="LD110" s="1">
        <v>1.19</v>
      </c>
      <c r="LE110" s="1">
        <v>1.44</v>
      </c>
      <c r="LF110" s="1">
        <v>1.8</v>
      </c>
      <c r="LG110" s="1">
        <v>0.76999999999999991</v>
      </c>
      <c r="LH110" s="1">
        <v>0.83000000000000007</v>
      </c>
      <c r="LI110" s="1">
        <v>0.93999999999999984</v>
      </c>
      <c r="LJ110" s="1">
        <v>0.82</v>
      </c>
      <c r="LK110" s="1">
        <v>0.74</v>
      </c>
      <c r="LL110" s="1">
        <v>0.87</v>
      </c>
      <c r="LM110" s="1">
        <v>0.87</v>
      </c>
      <c r="LN110" s="1">
        <v>0.85</v>
      </c>
      <c r="LO110" s="1">
        <v>0.94000000000000006</v>
      </c>
      <c r="LP110" s="1">
        <v>1.17</v>
      </c>
      <c r="LQ110" s="1">
        <v>1.4900000000000002</v>
      </c>
      <c r="LR110" s="1">
        <v>2.62</v>
      </c>
      <c r="LS110" s="1">
        <v>2.2000000000000002</v>
      </c>
      <c r="LT110" s="1">
        <v>2.08</v>
      </c>
      <c r="LU110" s="1">
        <v>0.85</v>
      </c>
      <c r="LV110" s="1">
        <v>0.92</v>
      </c>
      <c r="LW110" s="1">
        <v>0.89</v>
      </c>
      <c r="LX110" s="1">
        <v>0.45000000000000007</v>
      </c>
      <c r="LY110" s="1">
        <v>0.76999999999999991</v>
      </c>
      <c r="LZ110" s="1">
        <v>1.38</v>
      </c>
      <c r="MA110" s="1">
        <v>2.2600000000000002</v>
      </c>
      <c r="MB110" s="1">
        <v>2.66</v>
      </c>
      <c r="MC110" s="1">
        <v>3.67</v>
      </c>
      <c r="MD110" s="1">
        <v>3.41</v>
      </c>
      <c r="ME110" s="1">
        <v>1.5700000000000003</v>
      </c>
      <c r="MF110" s="1">
        <v>0.95000000000000007</v>
      </c>
      <c r="MG110" s="1">
        <v>0.82000000000000006</v>
      </c>
      <c r="MH110" s="1">
        <v>0.67</v>
      </c>
      <c r="MI110" s="1">
        <v>0.97000000000000008</v>
      </c>
      <c r="MJ110" s="1">
        <v>1.0700000000000003</v>
      </c>
      <c r="MK110" s="1">
        <v>1.02</v>
      </c>
      <c r="ML110" s="1">
        <v>1.17</v>
      </c>
      <c r="MM110" s="1">
        <v>1.0700000000000003</v>
      </c>
      <c r="MN110" s="1">
        <v>1.52</v>
      </c>
      <c r="MO110" s="1">
        <v>1.87</v>
      </c>
      <c r="MP110" s="1">
        <v>1.9700000000000002</v>
      </c>
      <c r="MQ110" s="1">
        <v>1.17</v>
      </c>
      <c r="MR110" s="1">
        <v>0.87</v>
      </c>
      <c r="MS110" s="1">
        <v>1.29</v>
      </c>
      <c r="MT110">
        <v>1.05</v>
      </c>
      <c r="MU110">
        <v>0.88</v>
      </c>
    </row>
    <row r="111" spans="1:359" ht="15.75" x14ac:dyDescent="0.25">
      <c r="A111" s="8" t="s">
        <v>0</v>
      </c>
      <c r="B111" s="39">
        <v>20565</v>
      </c>
      <c r="C111" s="39" t="s">
        <v>116</v>
      </c>
      <c r="D111" s="39" t="s">
        <v>146</v>
      </c>
      <c r="E111" s="39" t="s">
        <v>179</v>
      </c>
      <c r="F111" s="39" t="s">
        <v>67</v>
      </c>
      <c r="G111" s="39" t="s">
        <v>210</v>
      </c>
      <c r="H111" s="41">
        <v>30</v>
      </c>
      <c r="I111" s="39" t="s">
        <v>119</v>
      </c>
      <c r="J111" s="40">
        <v>69.771799999999999</v>
      </c>
      <c r="K111" s="39">
        <v>16.924781200000002</v>
      </c>
      <c r="L111" s="39">
        <v>80.310160499999995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>
        <v>3.37</v>
      </c>
      <c r="GZ111" s="1">
        <v>4.0999999999999996</v>
      </c>
      <c r="HA111" s="1">
        <v>4.8</v>
      </c>
      <c r="HB111" s="1">
        <v>4.25</v>
      </c>
      <c r="HC111" s="1">
        <v>3.27</v>
      </c>
      <c r="HD111" s="1">
        <v>1.88</v>
      </c>
      <c r="HE111" s="1">
        <v>1.46</v>
      </c>
      <c r="HF111" s="1">
        <v>1.39</v>
      </c>
      <c r="HG111" s="1">
        <v>2.67</v>
      </c>
      <c r="HH111" s="1">
        <v>3.13</v>
      </c>
      <c r="HI111" s="1">
        <v>1.58</v>
      </c>
      <c r="HJ111" s="1">
        <v>2.39</v>
      </c>
      <c r="HK111" s="1">
        <v>2.69</v>
      </c>
      <c r="HL111" s="1">
        <v>3.45</v>
      </c>
      <c r="HM111" s="1">
        <v>3.95</v>
      </c>
      <c r="HN111" s="1">
        <v>4.49</v>
      </c>
      <c r="HO111" s="1">
        <v>4.55</v>
      </c>
      <c r="HP111" s="1">
        <v>3.5</v>
      </c>
      <c r="HQ111" s="1">
        <v>2.2000000000000002</v>
      </c>
      <c r="HR111" s="1">
        <v>2.65</v>
      </c>
      <c r="HS111" s="1">
        <v>2.4700000000000002</v>
      </c>
      <c r="HT111" s="1">
        <v>2.99</v>
      </c>
      <c r="HU111" s="1">
        <v>3.3</v>
      </c>
      <c r="HV111" s="1">
        <v>3.55</v>
      </c>
      <c r="HW111" s="1">
        <v>4.18</v>
      </c>
      <c r="HX111" s="1">
        <v>4.3</v>
      </c>
      <c r="HY111" s="1">
        <v>4.95</v>
      </c>
      <c r="HZ111" s="1">
        <v>2.0099999999999998</v>
      </c>
      <c r="IA111" s="1">
        <v>2.78</v>
      </c>
      <c r="IB111" s="1">
        <v>2.6</v>
      </c>
      <c r="IC111" s="1">
        <v>2.12</v>
      </c>
      <c r="ID111" s="1">
        <v>2.89</v>
      </c>
      <c r="IE111" s="1">
        <v>3.9</v>
      </c>
      <c r="IF111" s="1">
        <v>5.46</v>
      </c>
      <c r="IG111" s="1">
        <v>7.31</v>
      </c>
      <c r="IH111" s="1">
        <v>8.58</v>
      </c>
      <c r="II111" s="1">
        <v>8.3699999999999992</v>
      </c>
      <c r="IJ111" s="1">
        <v>7.83</v>
      </c>
      <c r="IK111" s="1">
        <v>7.87</v>
      </c>
      <c r="IL111" s="1">
        <v>6.97</v>
      </c>
      <c r="IM111" s="1">
        <v>5.19</v>
      </c>
      <c r="IN111" s="1">
        <v>5.74</v>
      </c>
      <c r="IO111" s="1">
        <v>3.21</v>
      </c>
      <c r="IP111" s="1">
        <v>1.77</v>
      </c>
      <c r="IQ111" s="1">
        <v>2.56</v>
      </c>
      <c r="IR111" s="1">
        <v>4.22</v>
      </c>
      <c r="IS111" s="1">
        <v>4.84</v>
      </c>
      <c r="IT111" s="1">
        <v>5.4</v>
      </c>
      <c r="IU111" s="1">
        <v>5.31</v>
      </c>
      <c r="IV111" s="1">
        <v>6.18</v>
      </c>
      <c r="IW111" s="1">
        <v>6.59</v>
      </c>
      <c r="IX111" s="1">
        <v>5.83</v>
      </c>
      <c r="IY111" s="1">
        <v>4.7</v>
      </c>
      <c r="IZ111" s="1">
        <v>3.27</v>
      </c>
      <c r="JA111" s="1">
        <v>2.2000000000000002</v>
      </c>
      <c r="JB111" s="1">
        <v>2.4900000000000002</v>
      </c>
      <c r="JC111" s="1">
        <v>4.01</v>
      </c>
      <c r="JD111" s="1">
        <v>4.8600000000000003</v>
      </c>
      <c r="JE111" s="1">
        <v>5.46</v>
      </c>
      <c r="JF111" s="1">
        <v>5.82</v>
      </c>
      <c r="JG111" s="1">
        <v>6.26</v>
      </c>
      <c r="JH111" s="1">
        <v>6.2</v>
      </c>
      <c r="JI111" s="1">
        <v>5.76</v>
      </c>
      <c r="JJ111" s="1">
        <v>5.0199999999999996</v>
      </c>
      <c r="JK111" s="1">
        <v>2.94</v>
      </c>
      <c r="JL111" s="1">
        <v>1</v>
      </c>
      <c r="JM111" s="1">
        <v>1.1200000000000001</v>
      </c>
      <c r="JN111" s="1">
        <v>1.77</v>
      </c>
      <c r="JO111" s="1">
        <v>2.42</v>
      </c>
      <c r="JP111" s="1">
        <v>2.37</v>
      </c>
      <c r="JQ111" s="1">
        <v>2.8</v>
      </c>
      <c r="JR111" s="1">
        <v>2.9</v>
      </c>
      <c r="JS111" s="1">
        <v>3.39</v>
      </c>
      <c r="JT111" s="1">
        <v>3.51</v>
      </c>
      <c r="JU111" s="1">
        <v>3.96</v>
      </c>
      <c r="JV111" s="1">
        <v>4.7699999999999996</v>
      </c>
      <c r="JW111" s="1">
        <v>5.16</v>
      </c>
      <c r="JX111" s="1">
        <v>3.6</v>
      </c>
      <c r="JY111" s="1">
        <v>2.1</v>
      </c>
      <c r="JZ111" s="1">
        <v>0.97</v>
      </c>
      <c r="KA111" s="1">
        <v>1.47</v>
      </c>
      <c r="KB111" s="1">
        <v>1.75</v>
      </c>
      <c r="KC111" s="1">
        <v>2.41</v>
      </c>
      <c r="KD111" s="1">
        <v>3.08</v>
      </c>
      <c r="KE111" s="1"/>
      <c r="KF111" s="1"/>
      <c r="KG111" s="1">
        <v>4.54</v>
      </c>
      <c r="KH111" s="1">
        <v>3.81</v>
      </c>
      <c r="KI111" s="1">
        <v>1.1200000000000001</v>
      </c>
      <c r="KJ111" s="1">
        <v>0.78</v>
      </c>
      <c r="KK111" s="1">
        <v>0.91</v>
      </c>
      <c r="KL111" s="1">
        <v>0.22</v>
      </c>
      <c r="KM111" s="1">
        <v>1.08</v>
      </c>
      <c r="KN111" s="1">
        <v>1.79</v>
      </c>
      <c r="KO111" s="1">
        <v>2.2200000000000002</v>
      </c>
      <c r="KP111" s="1">
        <v>2.58</v>
      </c>
      <c r="KQ111" s="1">
        <v>3.4</v>
      </c>
      <c r="KR111" s="1">
        <v>3.14</v>
      </c>
      <c r="KS111" s="1">
        <v>4.08</v>
      </c>
      <c r="KT111" s="1">
        <v>3.67</v>
      </c>
      <c r="KU111" s="1">
        <v>1.94</v>
      </c>
      <c r="KV111" s="1">
        <v>1.54</v>
      </c>
      <c r="KW111" s="1">
        <v>1.68</v>
      </c>
      <c r="KX111" s="1">
        <v>0.96</v>
      </c>
      <c r="KY111" s="1">
        <v>1.36</v>
      </c>
      <c r="KZ111" s="1">
        <v>2.31</v>
      </c>
      <c r="LA111" s="1">
        <v>2.76</v>
      </c>
      <c r="LB111" s="1">
        <v>3</v>
      </c>
      <c r="LC111" s="1">
        <v>3.39</v>
      </c>
      <c r="LD111" s="1">
        <v>3.51</v>
      </c>
      <c r="LE111" s="1">
        <v>3.79</v>
      </c>
      <c r="LF111" s="1">
        <v>3.96</v>
      </c>
      <c r="LG111" s="1">
        <v>1.2399999999999998</v>
      </c>
      <c r="LH111" s="1">
        <v>1.17</v>
      </c>
      <c r="LI111" s="1">
        <v>1.8900000000000001</v>
      </c>
      <c r="LJ111" s="1">
        <v>1.31</v>
      </c>
      <c r="LK111" s="1">
        <v>1.6399999999999997</v>
      </c>
      <c r="LL111" s="1">
        <v>2.36</v>
      </c>
      <c r="LM111" s="1">
        <v>2.81</v>
      </c>
      <c r="LN111" s="1">
        <v>3.29</v>
      </c>
      <c r="LO111" s="1">
        <v>3.36</v>
      </c>
      <c r="LP111" s="1">
        <v>4.08</v>
      </c>
      <c r="LQ111" s="1">
        <v>3.06</v>
      </c>
      <c r="LR111" s="1">
        <v>3.7</v>
      </c>
      <c r="LS111" s="1">
        <v>3.34</v>
      </c>
      <c r="LT111" s="1">
        <v>2.82</v>
      </c>
      <c r="LU111" s="1">
        <v>2.73</v>
      </c>
      <c r="LV111" s="1">
        <v>2.13</v>
      </c>
      <c r="LW111" s="1">
        <v>3.4</v>
      </c>
      <c r="LX111" s="1">
        <v>2.86</v>
      </c>
      <c r="LY111" s="1">
        <v>3.03</v>
      </c>
      <c r="LZ111" s="1">
        <v>3.25</v>
      </c>
      <c r="MA111" s="1">
        <v>3.61</v>
      </c>
      <c r="MB111" s="1">
        <v>5.66</v>
      </c>
      <c r="MC111" s="1">
        <v>5.71</v>
      </c>
      <c r="MD111" s="1">
        <v>4.3</v>
      </c>
      <c r="ME111" s="1">
        <v>2.36</v>
      </c>
      <c r="MF111" s="1">
        <v>1.5</v>
      </c>
      <c r="MG111" s="1">
        <v>1.06</v>
      </c>
      <c r="MH111" s="1">
        <v>1.1000000000000001</v>
      </c>
      <c r="MI111" s="1">
        <v>1.96</v>
      </c>
      <c r="MJ111" s="1">
        <v>1.7600000000000002</v>
      </c>
      <c r="MK111" s="1">
        <v>3.06</v>
      </c>
      <c r="ML111" s="1">
        <v>3.56</v>
      </c>
      <c r="MM111" s="1">
        <v>3.85</v>
      </c>
      <c r="MN111" s="1">
        <v>4.66</v>
      </c>
      <c r="MO111" s="1">
        <v>4.1500000000000004</v>
      </c>
      <c r="MP111" s="1">
        <v>4.3600000000000003</v>
      </c>
      <c r="MQ111" s="1">
        <v>5.86</v>
      </c>
      <c r="MR111" s="1">
        <v>0.86</v>
      </c>
      <c r="MS111" s="1">
        <v>1.6599999999999997</v>
      </c>
      <c r="MT111">
        <v>2.57</v>
      </c>
      <c r="MU111">
        <v>6.03</v>
      </c>
    </row>
    <row r="112" spans="1:359" ht="15.75" x14ac:dyDescent="0.25">
      <c r="A112" s="8" t="s">
        <v>0</v>
      </c>
      <c r="B112" s="39">
        <v>20498</v>
      </c>
      <c r="C112" s="39" t="s">
        <v>116</v>
      </c>
      <c r="D112" s="39" t="s">
        <v>125</v>
      </c>
      <c r="E112" s="39" t="s">
        <v>180</v>
      </c>
      <c r="F112" s="39" t="s">
        <v>28</v>
      </c>
      <c r="G112" s="39" t="s">
        <v>210</v>
      </c>
      <c r="H112" s="41">
        <v>35.6</v>
      </c>
      <c r="I112" s="39" t="s">
        <v>119</v>
      </c>
      <c r="J112" s="40">
        <v>72.919474999999991</v>
      </c>
      <c r="K112" s="39">
        <v>16.977857</v>
      </c>
      <c r="L112" s="39">
        <v>80.382908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>
        <v>4.75</v>
      </c>
      <c r="HA112" s="1">
        <v>5.3</v>
      </c>
      <c r="HB112" s="1">
        <v>5.62</v>
      </c>
      <c r="HC112" s="1">
        <v>5.3</v>
      </c>
      <c r="HD112" s="1">
        <v>2.67</v>
      </c>
      <c r="HE112" s="1">
        <v>3.72</v>
      </c>
      <c r="HF112" s="1">
        <v>2.68</v>
      </c>
      <c r="HG112" s="1">
        <v>2.17</v>
      </c>
      <c r="HH112" s="1">
        <v>2.69</v>
      </c>
      <c r="HI112" s="1">
        <v>2.91</v>
      </c>
      <c r="HJ112" s="1">
        <v>3.37</v>
      </c>
      <c r="HK112" s="1">
        <v>3.52</v>
      </c>
      <c r="HL112" s="1">
        <v>4.2</v>
      </c>
      <c r="HM112" s="1">
        <v>5.23</v>
      </c>
      <c r="HN112" s="1">
        <v>4.8</v>
      </c>
      <c r="HO112" s="1">
        <v>5.08</v>
      </c>
      <c r="HP112" s="1">
        <v>4.75</v>
      </c>
      <c r="HQ112" s="1">
        <v>4.5199999999999996</v>
      </c>
      <c r="HR112" s="1">
        <v>4.6500000000000004</v>
      </c>
      <c r="HS112" s="1">
        <v>5</v>
      </c>
      <c r="HT112" s="1">
        <v>5.4</v>
      </c>
      <c r="HU112" s="1">
        <v>5.64</v>
      </c>
      <c r="HV112" s="1">
        <v>5.67</v>
      </c>
      <c r="HW112" s="1">
        <v>6.55</v>
      </c>
      <c r="HX112" s="1">
        <v>7.12</v>
      </c>
      <c r="HY112" s="1">
        <v>7.6</v>
      </c>
      <c r="HZ112" s="1">
        <v>7.09</v>
      </c>
      <c r="IA112" s="1">
        <v>4.87</v>
      </c>
      <c r="IB112" s="1">
        <v>6.55</v>
      </c>
      <c r="IC112" s="1">
        <v>6</v>
      </c>
      <c r="ID112" s="1">
        <v>6.06</v>
      </c>
      <c r="IE112" s="1">
        <v>7.25</v>
      </c>
      <c r="IF112" s="1">
        <v>7.44</v>
      </c>
      <c r="IG112" s="1">
        <v>8.31</v>
      </c>
      <c r="IH112" s="1">
        <v>8.5</v>
      </c>
      <c r="II112" s="1">
        <v>8.7899999999999991</v>
      </c>
      <c r="IJ112" s="1">
        <v>9.19</v>
      </c>
      <c r="IK112" s="1">
        <v>9.4499999999999993</v>
      </c>
      <c r="IL112" s="1">
        <v>9.58</v>
      </c>
      <c r="IM112" s="1">
        <v>8.5</v>
      </c>
      <c r="IN112" s="1">
        <v>8.8000000000000007</v>
      </c>
      <c r="IO112" s="1">
        <v>8.5399999999999991</v>
      </c>
      <c r="IP112" s="1">
        <v>7.41</v>
      </c>
      <c r="IQ112" s="1">
        <v>7.9</v>
      </c>
      <c r="IR112" s="1">
        <v>8.58</v>
      </c>
      <c r="IS112" s="1">
        <v>8.81</v>
      </c>
      <c r="IT112" s="1">
        <v>8.93</v>
      </c>
      <c r="IU112" s="1">
        <v>9.2899999999999991</v>
      </c>
      <c r="IV112" s="1">
        <v>9.75</v>
      </c>
      <c r="IW112" s="1">
        <v>10.210000000000001</v>
      </c>
      <c r="IX112" s="1">
        <v>10.37</v>
      </c>
      <c r="IY112" s="1">
        <v>9.57</v>
      </c>
      <c r="IZ112" s="1">
        <v>9.02</v>
      </c>
      <c r="JA112" s="1">
        <v>8.9</v>
      </c>
      <c r="JB112" s="1">
        <v>6.21</v>
      </c>
      <c r="JC112" s="1">
        <v>8.98</v>
      </c>
      <c r="JD112" s="1">
        <v>9.6300000000000008</v>
      </c>
      <c r="JE112" s="1">
        <v>10.199999999999999</v>
      </c>
      <c r="JF112" s="1">
        <v>10.62</v>
      </c>
      <c r="JG112" s="1">
        <v>11.05</v>
      </c>
      <c r="JH112" s="1">
        <v>11.28</v>
      </c>
      <c r="JI112" s="1">
        <v>11.58</v>
      </c>
      <c r="JJ112" s="1">
        <v>11.69</v>
      </c>
      <c r="JK112" s="1">
        <v>10.73</v>
      </c>
      <c r="JL112" s="1">
        <v>6.99</v>
      </c>
      <c r="JM112" s="1">
        <v>6.91</v>
      </c>
      <c r="JN112" s="1">
        <v>6.57</v>
      </c>
      <c r="JO112" s="1">
        <v>6.91</v>
      </c>
      <c r="JP112" s="1">
        <v>7.19</v>
      </c>
      <c r="JQ112" s="1">
        <v>7.58</v>
      </c>
      <c r="JR112" s="1">
        <v>7.55</v>
      </c>
      <c r="JS112" s="1">
        <v>8.07</v>
      </c>
      <c r="JT112" s="1">
        <v>8.83</v>
      </c>
      <c r="JU112" s="1">
        <v>9.48</v>
      </c>
      <c r="JV112" s="1">
        <v>10.19</v>
      </c>
      <c r="JW112" s="1">
        <v>10.56</v>
      </c>
      <c r="JX112" s="1">
        <v>9.76</v>
      </c>
      <c r="JY112" s="1">
        <v>9.0299999999999994</v>
      </c>
      <c r="JZ112" s="1">
        <v>7.54</v>
      </c>
      <c r="KA112" s="1">
        <v>7.29</v>
      </c>
      <c r="KB112" s="1">
        <v>7.38</v>
      </c>
      <c r="KC112" s="1">
        <v>7.99</v>
      </c>
      <c r="KD112" s="1">
        <v>8.74</v>
      </c>
      <c r="KE112" s="1"/>
      <c r="KF112" s="1"/>
      <c r="KG112" s="1">
        <v>9.83</v>
      </c>
      <c r="KH112" s="1">
        <v>8.2200000000000006</v>
      </c>
      <c r="KI112" s="1">
        <v>7.28</v>
      </c>
      <c r="KJ112" s="1">
        <v>6</v>
      </c>
      <c r="KK112" s="1">
        <v>4.88</v>
      </c>
      <c r="KL112" s="1">
        <v>2.44</v>
      </c>
      <c r="KM112" s="1">
        <v>3.31</v>
      </c>
      <c r="KN112" s="1">
        <v>3.51</v>
      </c>
      <c r="KO112" s="1">
        <v>3.91</v>
      </c>
      <c r="KP112" s="1">
        <v>4.74</v>
      </c>
      <c r="KQ112" s="1">
        <v>6.11</v>
      </c>
      <c r="KR112" s="1">
        <v>6.42</v>
      </c>
      <c r="KS112" s="1">
        <v>5.71</v>
      </c>
      <c r="KT112" s="1">
        <v>5.33</v>
      </c>
      <c r="KU112" s="1">
        <v>3.76</v>
      </c>
      <c r="KV112" s="1">
        <v>2.46</v>
      </c>
      <c r="KW112" s="1">
        <v>2.4900000000000002</v>
      </c>
      <c r="KX112" s="1">
        <v>1.26</v>
      </c>
      <c r="KY112" s="1">
        <v>1.66</v>
      </c>
      <c r="KZ112" s="1">
        <v>2.25</v>
      </c>
      <c r="LA112" s="1">
        <v>2.74</v>
      </c>
      <c r="LB112" s="1">
        <v>3.44</v>
      </c>
      <c r="LC112" s="1">
        <v>3.05</v>
      </c>
      <c r="LD112" s="1">
        <v>3.15</v>
      </c>
      <c r="LE112" s="1">
        <v>4.55</v>
      </c>
      <c r="LF112" s="1">
        <v>4.4800000000000004</v>
      </c>
      <c r="LG112" s="1">
        <v>1.03</v>
      </c>
      <c r="LH112" s="1">
        <v>0.56000000000000016</v>
      </c>
      <c r="LI112" s="1">
        <v>1.52</v>
      </c>
      <c r="LJ112" s="1">
        <v>1.03</v>
      </c>
      <c r="LK112" s="1">
        <v>1.5</v>
      </c>
      <c r="LL112" s="1">
        <v>2.09</v>
      </c>
      <c r="LM112" s="1">
        <v>2.5100000000000002</v>
      </c>
      <c r="LN112" s="1">
        <v>3.11</v>
      </c>
      <c r="LO112" s="1">
        <v>3.4099999999999997</v>
      </c>
      <c r="LP112" s="1">
        <v>3.77</v>
      </c>
      <c r="LQ112" s="1">
        <v>3.7100000000000004</v>
      </c>
      <c r="LR112" s="1">
        <v>4.9000000000000004</v>
      </c>
      <c r="LS112" s="1">
        <v>2.23</v>
      </c>
      <c r="LT112" s="1">
        <v>1.79</v>
      </c>
      <c r="LU112" s="1">
        <v>1.6400000000000001</v>
      </c>
      <c r="LV112" s="1">
        <v>1.8599999999999999</v>
      </c>
      <c r="LW112" s="1">
        <v>2.89</v>
      </c>
      <c r="LX112" s="1">
        <v>2.4700000000000002</v>
      </c>
      <c r="LY112" s="1">
        <v>2.58</v>
      </c>
      <c r="LZ112" s="1">
        <v>3.3400000000000003</v>
      </c>
      <c r="MA112" s="1">
        <v>4.07</v>
      </c>
      <c r="MB112" s="1">
        <v>4.57</v>
      </c>
      <c r="MC112" s="1">
        <v>4.8900000000000006</v>
      </c>
      <c r="MD112" s="1">
        <v>4.7999999999999989</v>
      </c>
      <c r="ME112" s="1">
        <v>3.4099999999999997</v>
      </c>
      <c r="MF112" s="1">
        <v>1.1400000000000001</v>
      </c>
      <c r="MG112" s="1">
        <v>1.0099999999999998</v>
      </c>
      <c r="MH112" s="1">
        <v>1.5100000000000002</v>
      </c>
      <c r="MI112" s="1">
        <v>1.81</v>
      </c>
      <c r="MJ112" s="1">
        <v>2.11</v>
      </c>
      <c r="MK112" s="1">
        <v>3.0100000000000002</v>
      </c>
      <c r="ML112" s="1">
        <v>3.5100000000000002</v>
      </c>
      <c r="MM112" s="1">
        <v>3.9099999999999997</v>
      </c>
      <c r="MN112" s="1">
        <v>4.3100000000000005</v>
      </c>
      <c r="MO112" s="1">
        <v>4.9499999999999993</v>
      </c>
      <c r="MP112" s="1">
        <v>4.3699999999999992</v>
      </c>
      <c r="MQ112" s="1">
        <v>1.5100000000000002</v>
      </c>
      <c r="MR112" s="1">
        <v>0.91000000000000014</v>
      </c>
      <c r="MS112" s="1">
        <v>1.21</v>
      </c>
      <c r="MT112">
        <v>0.31</v>
      </c>
      <c r="MU112">
        <v>0.44000000000000006</v>
      </c>
    </row>
    <row r="113" spans="1:359" ht="15.75" x14ac:dyDescent="0.25">
      <c r="A113" s="8" t="s">
        <v>0</v>
      </c>
      <c r="B113" s="39">
        <v>20568</v>
      </c>
      <c r="C113" s="39" t="s">
        <v>116</v>
      </c>
      <c r="D113" s="39" t="s">
        <v>148</v>
      </c>
      <c r="E113" s="39" t="s">
        <v>181</v>
      </c>
      <c r="F113" s="39" t="s">
        <v>28</v>
      </c>
      <c r="G113" s="39" t="s">
        <v>210</v>
      </c>
      <c r="H113" s="41">
        <v>40</v>
      </c>
      <c r="I113" s="39" t="s">
        <v>119</v>
      </c>
      <c r="J113" s="40">
        <v>42.264800000000001</v>
      </c>
      <c r="K113" s="39">
        <v>16.765381099999999</v>
      </c>
      <c r="L113" s="39">
        <v>80.371620300000004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>
        <v>5.2</v>
      </c>
      <c r="GZ113" s="1">
        <v>6</v>
      </c>
      <c r="HA113" s="1">
        <v>6.75</v>
      </c>
      <c r="HB113" s="1">
        <v>6.75</v>
      </c>
      <c r="HC113" s="1">
        <v>5.65</v>
      </c>
      <c r="HD113" s="1">
        <v>4.05</v>
      </c>
      <c r="HE113" s="1">
        <v>3.47</v>
      </c>
      <c r="HF113" s="1">
        <v>1.5</v>
      </c>
      <c r="HG113" s="1">
        <v>1.73</v>
      </c>
      <c r="HH113" s="1">
        <v>2.5</v>
      </c>
      <c r="HI113" s="1">
        <v>3.18</v>
      </c>
      <c r="HJ113" s="1">
        <v>3.83</v>
      </c>
      <c r="HK113" s="1">
        <v>4.24</v>
      </c>
      <c r="HL113" s="1">
        <v>4.93</v>
      </c>
      <c r="HM113" s="1">
        <v>3.73</v>
      </c>
      <c r="HN113" s="1">
        <v>6.32</v>
      </c>
      <c r="HO113" s="1">
        <v>6.33</v>
      </c>
      <c r="HP113" s="1">
        <v>6.38</v>
      </c>
      <c r="HQ113" s="1">
        <v>4.7300000000000004</v>
      </c>
      <c r="HR113" s="1">
        <v>5.04</v>
      </c>
      <c r="HS113" s="1">
        <v>5.53</v>
      </c>
      <c r="HT113" s="1">
        <v>6.1</v>
      </c>
      <c r="HU113" s="1">
        <v>6.68</v>
      </c>
      <c r="HV113" s="1">
        <v>6.93</v>
      </c>
      <c r="HW113" s="1">
        <v>7.55</v>
      </c>
      <c r="HX113" s="1">
        <v>7.88</v>
      </c>
      <c r="HY113" s="1">
        <v>8.43</v>
      </c>
      <c r="HZ113" s="1">
        <v>4.57</v>
      </c>
      <c r="IA113" s="1">
        <v>5.27</v>
      </c>
      <c r="IB113" s="1">
        <v>4.71</v>
      </c>
      <c r="IC113" s="1">
        <v>3.15</v>
      </c>
      <c r="ID113" s="1">
        <v>3.22</v>
      </c>
      <c r="IE113" s="1">
        <v>4.08</v>
      </c>
      <c r="IF113" s="1">
        <v>4.8</v>
      </c>
      <c r="IG113" s="1">
        <v>5.29</v>
      </c>
      <c r="IH113" s="1">
        <v>6.04</v>
      </c>
      <c r="II113" s="1">
        <v>6.57</v>
      </c>
      <c r="IJ113" s="1">
        <v>7.74</v>
      </c>
      <c r="IK113" s="1">
        <v>8.58</v>
      </c>
      <c r="IL113" s="1">
        <v>8.56</v>
      </c>
      <c r="IM113" s="1">
        <v>7.76</v>
      </c>
      <c r="IN113" s="1">
        <v>5.73</v>
      </c>
      <c r="IO113" s="1">
        <v>3.44</v>
      </c>
      <c r="IP113" s="1">
        <v>6.36</v>
      </c>
      <c r="IQ113" s="1">
        <v>2.82</v>
      </c>
      <c r="IR113" s="1">
        <v>3.69</v>
      </c>
      <c r="IS113" s="1">
        <v>4.08</v>
      </c>
      <c r="IT113" s="1">
        <v>4.95</v>
      </c>
      <c r="IU113" s="1">
        <v>5.73</v>
      </c>
      <c r="IV113" s="1">
        <v>6.76</v>
      </c>
      <c r="IW113" s="1">
        <v>7.54</v>
      </c>
      <c r="IX113" s="1">
        <v>7.71</v>
      </c>
      <c r="IY113" s="1">
        <v>6.29</v>
      </c>
      <c r="IZ113" s="1">
        <v>5.32</v>
      </c>
      <c r="JA113" s="1">
        <v>3.9</v>
      </c>
      <c r="JB113" s="1">
        <v>3.79</v>
      </c>
      <c r="JC113" s="1">
        <v>4.57</v>
      </c>
      <c r="JD113" s="1">
        <v>5.44</v>
      </c>
      <c r="JE113" s="1">
        <v>6.07</v>
      </c>
      <c r="JF113" s="1">
        <v>6.59</v>
      </c>
      <c r="JG113" s="1">
        <v>7.29</v>
      </c>
      <c r="JH113" s="1">
        <v>7.61</v>
      </c>
      <c r="JI113" s="1">
        <v>8.6199999999999992</v>
      </c>
      <c r="JJ113" s="1">
        <v>7.93</v>
      </c>
      <c r="JK113" s="1">
        <v>5.93</v>
      </c>
      <c r="JL113" s="1">
        <v>4.1399999999999997</v>
      </c>
      <c r="JM113" s="1">
        <v>3.16</v>
      </c>
      <c r="JN113" s="1">
        <v>3.97</v>
      </c>
      <c r="JO113" s="1">
        <v>2.81</v>
      </c>
      <c r="JP113" s="1">
        <v>5.05</v>
      </c>
      <c r="JQ113" s="1">
        <v>5.26</v>
      </c>
      <c r="JR113" s="1">
        <v>5.53</v>
      </c>
      <c r="JS113" s="1">
        <v>6.34</v>
      </c>
      <c r="JT113" s="1">
        <v>7.07</v>
      </c>
      <c r="JU113" s="1">
        <v>8.07</v>
      </c>
      <c r="JV113" s="1">
        <v>8.91</v>
      </c>
      <c r="JW113" s="1">
        <v>9.2899999999999991</v>
      </c>
      <c r="JX113" s="1">
        <v>8.23</v>
      </c>
      <c r="JY113" s="1">
        <v>6.73</v>
      </c>
      <c r="JZ113" s="1">
        <v>6.09</v>
      </c>
      <c r="KA113" s="1">
        <v>6.23</v>
      </c>
      <c r="KB113" s="1">
        <v>6.48</v>
      </c>
      <c r="KC113" s="1">
        <v>6.87</v>
      </c>
      <c r="KD113" s="1">
        <v>7.62</v>
      </c>
      <c r="KE113" s="1"/>
      <c r="KF113" s="1"/>
      <c r="KG113" s="1">
        <v>8.9</v>
      </c>
      <c r="KH113" s="1">
        <v>9.08</v>
      </c>
      <c r="KI113" s="1">
        <v>4.0599999999999996</v>
      </c>
      <c r="KJ113" s="1">
        <v>5.16</v>
      </c>
      <c r="KK113" s="1">
        <v>4.16</v>
      </c>
      <c r="KL113" s="1">
        <v>0.89</v>
      </c>
      <c r="KM113" s="1">
        <v>1.7</v>
      </c>
      <c r="KN113" s="1">
        <v>2.09</v>
      </c>
      <c r="KO113" s="1">
        <v>2.81</v>
      </c>
      <c r="KP113" s="1">
        <v>3.34</v>
      </c>
      <c r="KQ113" s="1">
        <v>4.29</v>
      </c>
      <c r="KR113" s="1">
        <v>4.46</v>
      </c>
      <c r="KS113" s="1">
        <v>5.34</v>
      </c>
      <c r="KT113" s="1">
        <v>5.46</v>
      </c>
      <c r="KU113" s="1">
        <v>3.6</v>
      </c>
      <c r="KV113" s="1">
        <v>2.59</v>
      </c>
      <c r="KW113" s="1">
        <v>2.78</v>
      </c>
      <c r="KX113" s="1">
        <v>2.11</v>
      </c>
      <c r="KY113" s="1">
        <v>2.7</v>
      </c>
      <c r="KZ113" s="1">
        <v>3.78</v>
      </c>
      <c r="LA113" s="1">
        <v>4.25</v>
      </c>
      <c r="LB113" s="1">
        <v>4.05</v>
      </c>
      <c r="LC113" s="1">
        <v>5.37</v>
      </c>
      <c r="LD113" s="1">
        <v>6.07</v>
      </c>
      <c r="LE113" s="1">
        <v>7.05</v>
      </c>
      <c r="LF113" s="1">
        <v>7.86</v>
      </c>
      <c r="LG113" s="1">
        <v>4.76</v>
      </c>
      <c r="LH113" s="1">
        <v>4.59</v>
      </c>
      <c r="LI113" s="1">
        <v>5.12</v>
      </c>
      <c r="LJ113" s="1">
        <v>2.83</v>
      </c>
      <c r="LK113" s="1">
        <v>3.36</v>
      </c>
      <c r="LL113" s="1">
        <v>4.24</v>
      </c>
      <c r="LM113" s="1">
        <v>4.91</v>
      </c>
      <c r="LN113" s="1">
        <v>4.6899999999999995</v>
      </c>
      <c r="LO113" s="1">
        <v>6.34</v>
      </c>
      <c r="LP113" s="1">
        <v>4.21</v>
      </c>
      <c r="LQ113" s="1">
        <v>7.27</v>
      </c>
      <c r="LR113" s="1">
        <v>8.75</v>
      </c>
      <c r="LS113" s="1">
        <v>7.77</v>
      </c>
      <c r="LT113" s="1">
        <v>7.5500000000000007</v>
      </c>
      <c r="LU113" s="1">
        <v>7.3699999999999992</v>
      </c>
      <c r="LV113" s="1">
        <v>4.93</v>
      </c>
      <c r="LW113" s="1">
        <v>6.35</v>
      </c>
      <c r="LX113" s="1">
        <v>5.6</v>
      </c>
      <c r="LY113" s="1">
        <v>5.68</v>
      </c>
      <c r="LZ113" s="1">
        <v>7.3699999999999992</v>
      </c>
      <c r="MA113" s="1">
        <v>8.08</v>
      </c>
      <c r="MB113" s="1">
        <v>9.84</v>
      </c>
      <c r="MC113" s="1">
        <v>10.129999999999999</v>
      </c>
      <c r="MD113" s="1">
        <v>9.58</v>
      </c>
      <c r="ME113" s="1">
        <v>7.8</v>
      </c>
      <c r="MF113" s="1">
        <v>4.8</v>
      </c>
      <c r="MG113" s="1">
        <v>1.17</v>
      </c>
      <c r="MH113" s="1">
        <v>1.44</v>
      </c>
      <c r="MI113" s="1">
        <v>2.04</v>
      </c>
      <c r="MJ113" s="1">
        <v>3.04</v>
      </c>
      <c r="MK113" s="1">
        <v>3.9399999999999995</v>
      </c>
      <c r="ML113" s="1">
        <v>4.9399999999999995</v>
      </c>
      <c r="MM113" s="1">
        <v>5.84</v>
      </c>
      <c r="MN113" s="1">
        <v>6.4399999999999995</v>
      </c>
      <c r="MO113" s="1">
        <v>6.79</v>
      </c>
      <c r="MP113" s="1">
        <v>6.34</v>
      </c>
      <c r="MQ113" s="1">
        <v>5.54</v>
      </c>
      <c r="MR113" s="1">
        <v>2.34</v>
      </c>
      <c r="MS113" s="1">
        <v>1.85</v>
      </c>
      <c r="MT113">
        <v>0.68</v>
      </c>
      <c r="MU113">
        <v>0.94</v>
      </c>
    </row>
    <row r="114" spans="1:359" ht="15.75" x14ac:dyDescent="0.25">
      <c r="A114" s="8" t="s">
        <v>0</v>
      </c>
      <c r="B114" s="39">
        <v>20577</v>
      </c>
      <c r="C114" s="39" t="s">
        <v>116</v>
      </c>
      <c r="D114" s="39" t="s">
        <v>143</v>
      </c>
      <c r="E114" s="39" t="s">
        <v>182</v>
      </c>
      <c r="F114" s="39" t="s">
        <v>28</v>
      </c>
      <c r="G114" s="39" t="s">
        <v>210</v>
      </c>
      <c r="H114" s="41">
        <v>58</v>
      </c>
      <c r="I114" s="39" t="s">
        <v>119</v>
      </c>
      <c r="J114" s="40">
        <v>126.51724999999999</v>
      </c>
      <c r="K114" s="39">
        <v>17.05058</v>
      </c>
      <c r="L114" s="39">
        <v>80.740700000000004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>
        <v>1.87</v>
      </c>
      <c r="GZ114" s="1">
        <v>2.42</v>
      </c>
      <c r="HA114" s="1">
        <v>3</v>
      </c>
      <c r="HB114" s="1">
        <v>3.45</v>
      </c>
      <c r="HC114" s="1">
        <v>0.97</v>
      </c>
      <c r="HD114" s="1">
        <v>0.66</v>
      </c>
      <c r="HE114" s="1">
        <v>0.5</v>
      </c>
      <c r="HF114" s="1">
        <v>0.42</v>
      </c>
      <c r="HG114" s="1">
        <v>0.97</v>
      </c>
      <c r="HH114" s="1">
        <v>1.67</v>
      </c>
      <c r="HI114" s="1">
        <v>1.7</v>
      </c>
      <c r="HJ114" s="1">
        <v>2.14</v>
      </c>
      <c r="HK114" s="1">
        <v>1.41</v>
      </c>
      <c r="HL114" s="1">
        <v>3.17</v>
      </c>
      <c r="HM114" s="1">
        <v>3.56</v>
      </c>
      <c r="HN114" s="1">
        <v>4.07</v>
      </c>
      <c r="HO114" s="1">
        <v>4.3499999999999996</v>
      </c>
      <c r="HP114" s="1">
        <v>3.05</v>
      </c>
      <c r="HQ114" s="1">
        <v>1.05</v>
      </c>
      <c r="HR114" s="1">
        <v>1.45</v>
      </c>
      <c r="HS114" s="1">
        <v>1.3</v>
      </c>
      <c r="HT114" s="1">
        <v>1.72</v>
      </c>
      <c r="HU114" s="1">
        <v>2.0499999999999998</v>
      </c>
      <c r="HV114" s="1">
        <v>2.5499999999999998</v>
      </c>
      <c r="HW114" s="1">
        <v>3.15</v>
      </c>
      <c r="HX114" s="1">
        <v>3.37</v>
      </c>
      <c r="HY114" s="1">
        <v>3.6</v>
      </c>
      <c r="HZ114" s="1">
        <v>2.44</v>
      </c>
      <c r="IA114" s="1">
        <v>2.4</v>
      </c>
      <c r="IB114" s="1">
        <v>2.1</v>
      </c>
      <c r="IC114" s="1">
        <v>1.35</v>
      </c>
      <c r="ID114" s="1">
        <v>1.47</v>
      </c>
      <c r="IE114" s="1">
        <v>2.15</v>
      </c>
      <c r="IF114" s="1">
        <v>2.3199999999999998</v>
      </c>
      <c r="IG114" s="1">
        <v>3.1</v>
      </c>
      <c r="IH114" s="1">
        <v>3.64</v>
      </c>
      <c r="II114" s="1">
        <v>4.1500000000000004</v>
      </c>
      <c r="IJ114" s="1">
        <v>4.8099999999999996</v>
      </c>
      <c r="IK114" s="1">
        <v>5.36</v>
      </c>
      <c r="IL114" s="1">
        <v>5.35</v>
      </c>
      <c r="IM114" s="1">
        <v>2.75</v>
      </c>
      <c r="IN114" s="1">
        <v>3.44</v>
      </c>
      <c r="IO114" s="1">
        <v>2.64</v>
      </c>
      <c r="IP114" s="1">
        <v>2.52</v>
      </c>
      <c r="IQ114" s="1">
        <v>1.76</v>
      </c>
      <c r="IR114" s="1">
        <v>2.36</v>
      </c>
      <c r="IS114" s="1">
        <v>2.63</v>
      </c>
      <c r="IT114" s="1">
        <v>2.77</v>
      </c>
      <c r="IU114" s="1">
        <v>3.61</v>
      </c>
      <c r="IV114" s="1">
        <v>4.2300000000000004</v>
      </c>
      <c r="IW114" s="1">
        <v>4.96</v>
      </c>
      <c r="IX114" s="1">
        <v>4.78</v>
      </c>
      <c r="IY114" s="1">
        <v>2.21</v>
      </c>
      <c r="IZ114" s="1">
        <v>1.07</v>
      </c>
      <c r="JA114" s="1">
        <v>0.59</v>
      </c>
      <c r="JB114" s="1">
        <v>0.52</v>
      </c>
      <c r="JC114" s="1">
        <v>1.69</v>
      </c>
      <c r="JD114" s="1">
        <v>2.1</v>
      </c>
      <c r="JE114" s="1">
        <v>2.5</v>
      </c>
      <c r="JF114" s="1">
        <v>3.06</v>
      </c>
      <c r="JG114" s="1">
        <v>3.76</v>
      </c>
      <c r="JH114" s="1">
        <v>4.28</v>
      </c>
      <c r="JI114" s="1">
        <v>5.15</v>
      </c>
      <c r="JJ114" s="1">
        <v>5.2</v>
      </c>
      <c r="JK114" s="1">
        <v>2.5499999999999998</v>
      </c>
      <c r="JL114" s="1">
        <v>2</v>
      </c>
      <c r="JM114" s="1">
        <v>1.07</v>
      </c>
      <c r="JN114" s="1">
        <v>1.88</v>
      </c>
      <c r="JO114" s="1">
        <v>1.99</v>
      </c>
      <c r="JP114" s="1">
        <v>1.97</v>
      </c>
      <c r="JQ114" s="1">
        <v>2.2400000000000002</v>
      </c>
      <c r="JR114" s="1">
        <v>2.57</v>
      </c>
      <c r="JS114" s="1">
        <v>2.86</v>
      </c>
      <c r="JT114" s="1">
        <v>3.68</v>
      </c>
      <c r="JU114" s="1">
        <v>4.37</v>
      </c>
      <c r="JV114" s="1">
        <v>5.08</v>
      </c>
      <c r="JW114" s="1">
        <v>6.37</v>
      </c>
      <c r="JX114" s="1">
        <v>4.08</v>
      </c>
      <c r="JY114" s="1">
        <v>3.43</v>
      </c>
      <c r="JZ114" s="1">
        <v>1.36</v>
      </c>
      <c r="KA114" s="1">
        <v>1.28</v>
      </c>
      <c r="KB114" s="1">
        <v>1.41</v>
      </c>
      <c r="KC114" s="1">
        <v>2.09</v>
      </c>
      <c r="KD114" s="1">
        <v>2.61</v>
      </c>
      <c r="KE114" s="1"/>
      <c r="KF114" s="1"/>
      <c r="KG114" s="1">
        <v>4.3</v>
      </c>
      <c r="KH114" s="1">
        <v>5.2</v>
      </c>
      <c r="KI114" s="1">
        <v>2.0099999999999998</v>
      </c>
      <c r="KJ114" s="1">
        <v>0.37</v>
      </c>
      <c r="KK114" s="1">
        <v>0.28000000000000003</v>
      </c>
      <c r="KL114" s="1">
        <v>0.28000000000000003</v>
      </c>
      <c r="KM114" s="1">
        <v>0.69</v>
      </c>
      <c r="KN114" s="1">
        <v>1.33</v>
      </c>
      <c r="KO114" s="1">
        <v>1.07</v>
      </c>
      <c r="KP114" s="1">
        <v>1.51</v>
      </c>
      <c r="KQ114" s="1">
        <v>2.14</v>
      </c>
      <c r="KR114" s="1">
        <v>2.33</v>
      </c>
      <c r="KS114" s="1">
        <v>3.06</v>
      </c>
      <c r="KT114" s="1">
        <v>3.14</v>
      </c>
      <c r="KU114" s="1">
        <v>2.72</v>
      </c>
      <c r="KV114" s="1">
        <v>0.25</v>
      </c>
      <c r="KW114" s="1">
        <v>0.82</v>
      </c>
      <c r="KX114" s="1">
        <v>0.66</v>
      </c>
      <c r="KY114" s="1">
        <v>0.47</v>
      </c>
      <c r="KZ114" s="1">
        <v>1.07</v>
      </c>
      <c r="LA114" s="1">
        <v>1.69</v>
      </c>
      <c r="LB114" s="1">
        <v>1.77</v>
      </c>
      <c r="LC114" s="1">
        <v>2.0699999999999998</v>
      </c>
      <c r="LD114" s="1">
        <v>1.33</v>
      </c>
      <c r="LE114" s="1">
        <v>2.93</v>
      </c>
      <c r="LF114" s="1">
        <v>2.6</v>
      </c>
      <c r="LG114" s="1">
        <v>0.87999999999999989</v>
      </c>
      <c r="LH114" s="1">
        <v>0.1</v>
      </c>
      <c r="LI114" s="1">
        <v>0.41999999999999993</v>
      </c>
      <c r="LJ114" s="1">
        <v>0.31999999999999984</v>
      </c>
      <c r="LK114" s="1">
        <v>0.52999999999999992</v>
      </c>
      <c r="LL114" s="1">
        <v>1</v>
      </c>
      <c r="LM114" s="1">
        <v>1.48</v>
      </c>
      <c r="LN114" s="1">
        <v>1.73</v>
      </c>
      <c r="LO114" s="1">
        <v>1.83</v>
      </c>
      <c r="LP114" s="1">
        <v>2.08</v>
      </c>
      <c r="LQ114" s="1">
        <v>2.38</v>
      </c>
      <c r="LR114" s="1">
        <v>4.16</v>
      </c>
      <c r="LS114" s="1">
        <v>0.58999999999999986</v>
      </c>
      <c r="LT114" s="1">
        <v>0.40999999999999992</v>
      </c>
      <c r="LU114" s="1">
        <v>0.98</v>
      </c>
      <c r="LV114" s="1">
        <v>1.2399999999999998</v>
      </c>
      <c r="LW114" s="1">
        <v>1.35</v>
      </c>
      <c r="LX114" s="1">
        <v>1.56</v>
      </c>
      <c r="LY114" s="1">
        <v>1.6799999999999997</v>
      </c>
      <c r="LZ114" s="1">
        <v>1.9299999999999997</v>
      </c>
      <c r="MA114" s="1">
        <v>2.46</v>
      </c>
      <c r="MB114" s="1">
        <v>2.9799999999999995</v>
      </c>
      <c r="MC114" s="1">
        <v>3.6499999999999995</v>
      </c>
      <c r="MD114" s="1">
        <v>3.5199999999999996</v>
      </c>
      <c r="ME114" s="1">
        <v>1.2800000000000002</v>
      </c>
      <c r="MF114" s="1">
        <v>0.31999999999999984</v>
      </c>
      <c r="MG114" s="1">
        <v>0.67</v>
      </c>
      <c r="MH114" s="1">
        <v>0.48</v>
      </c>
      <c r="MI114" s="1">
        <v>1.06</v>
      </c>
      <c r="MJ114" s="1">
        <v>1.33</v>
      </c>
      <c r="MK114" s="1">
        <v>1.7799999999999998</v>
      </c>
      <c r="ML114" s="1">
        <v>1.98</v>
      </c>
      <c r="MM114" s="1">
        <v>2.38</v>
      </c>
      <c r="MN114" s="1">
        <v>2.88</v>
      </c>
      <c r="MO114" s="1">
        <v>3.7800000000000002</v>
      </c>
      <c r="MP114" s="1">
        <v>3.4799999999999995</v>
      </c>
      <c r="MQ114" s="1">
        <v>2.1799999999999997</v>
      </c>
      <c r="MR114" s="1">
        <v>0.37999999999999989</v>
      </c>
      <c r="MS114" s="1">
        <v>0.67999999999999994</v>
      </c>
      <c r="MT114">
        <v>0.18</v>
      </c>
      <c r="MU114">
        <v>1.26</v>
      </c>
    </row>
    <row r="115" spans="1:359" ht="15.75" x14ac:dyDescent="0.25">
      <c r="A115" s="8" t="s">
        <v>0</v>
      </c>
      <c r="B115" s="39">
        <v>20499</v>
      </c>
      <c r="C115" s="39" t="s">
        <v>116</v>
      </c>
      <c r="D115" s="39" t="s">
        <v>125</v>
      </c>
      <c r="E115" s="39" t="s">
        <v>183</v>
      </c>
      <c r="F115" s="39" t="s">
        <v>38</v>
      </c>
      <c r="G115" s="39" t="s">
        <v>210</v>
      </c>
      <c r="H115" s="41">
        <v>62.3</v>
      </c>
      <c r="I115" s="39" t="s">
        <v>119</v>
      </c>
      <c r="J115" s="40">
        <v>75.659774999999996</v>
      </c>
      <c r="K115" s="39">
        <v>16.966729999999998</v>
      </c>
      <c r="L115" s="39">
        <v>80.543681000000007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>
        <v>3.65</v>
      </c>
      <c r="GZ115" s="1">
        <v>4.03</v>
      </c>
      <c r="HA115" s="1">
        <v>4.3499999999999996</v>
      </c>
      <c r="HB115" s="1">
        <v>4.59</v>
      </c>
      <c r="HC115" s="1">
        <v>3.55</v>
      </c>
      <c r="HD115" s="1">
        <v>2.85</v>
      </c>
      <c r="HE115" s="1">
        <v>3.32</v>
      </c>
      <c r="HF115" s="1">
        <v>2.13</v>
      </c>
      <c r="HG115" s="1">
        <v>2.33</v>
      </c>
      <c r="HH115" s="1">
        <v>2.74</v>
      </c>
      <c r="HI115" s="1">
        <v>2.65</v>
      </c>
      <c r="HJ115" s="1">
        <v>3.45</v>
      </c>
      <c r="HK115" s="1">
        <v>3.76</v>
      </c>
      <c r="HL115" s="1">
        <v>4.3899999999999997</v>
      </c>
      <c r="HM115" s="1">
        <v>4.7</v>
      </c>
      <c r="HN115" s="1">
        <v>4.8499999999999996</v>
      </c>
      <c r="HO115" s="1">
        <v>5.13</v>
      </c>
      <c r="HP115" s="1">
        <v>4.88</v>
      </c>
      <c r="HQ115" s="1">
        <v>3.12</v>
      </c>
      <c r="HR115" s="1">
        <v>3.65</v>
      </c>
      <c r="HS115" s="1">
        <v>3.85</v>
      </c>
      <c r="HT115" s="1">
        <v>4.3499999999999996</v>
      </c>
      <c r="HU115" s="1">
        <v>4.57</v>
      </c>
      <c r="HV115" s="1">
        <v>4.87</v>
      </c>
      <c r="HW115" s="1">
        <v>5.25</v>
      </c>
      <c r="HX115" s="1">
        <v>5.57</v>
      </c>
      <c r="HY115" s="1">
        <v>5.85</v>
      </c>
      <c r="HZ115" s="1">
        <v>5.85</v>
      </c>
      <c r="IA115" s="1">
        <v>4.97</v>
      </c>
      <c r="IB115" s="1">
        <v>5.13</v>
      </c>
      <c r="IC115" s="1">
        <v>4.57</v>
      </c>
      <c r="ID115" s="1">
        <v>4.6399999999999997</v>
      </c>
      <c r="IE115" s="1">
        <v>5.41</v>
      </c>
      <c r="IF115" s="1">
        <v>5.85</v>
      </c>
      <c r="IG115" s="1">
        <v>5.98</v>
      </c>
      <c r="IH115" s="1">
        <v>6.29</v>
      </c>
      <c r="II115" s="1">
        <v>6.58</v>
      </c>
      <c r="IJ115" s="1">
        <v>6.88</v>
      </c>
      <c r="IK115" s="1">
        <v>7.07</v>
      </c>
      <c r="IL115" s="1">
        <v>7.26</v>
      </c>
      <c r="IM115" s="1">
        <v>6.46</v>
      </c>
      <c r="IN115" s="1">
        <v>5.58</v>
      </c>
      <c r="IO115" s="1">
        <v>5.08</v>
      </c>
      <c r="IP115" s="1">
        <v>4.2</v>
      </c>
      <c r="IQ115" s="1">
        <v>4.6900000000000004</v>
      </c>
      <c r="IR115" s="1">
        <v>4.93</v>
      </c>
      <c r="IS115" s="1">
        <v>5.42</v>
      </c>
      <c r="IT115" s="1">
        <v>5.79</v>
      </c>
      <c r="IU115" s="1">
        <v>6.2</v>
      </c>
      <c r="IV115" s="1">
        <v>6.66</v>
      </c>
      <c r="IW115" s="1">
        <v>7.07</v>
      </c>
      <c r="IX115" s="1">
        <v>7.28</v>
      </c>
      <c r="IY115" s="1">
        <v>7.08</v>
      </c>
      <c r="IZ115" s="1">
        <v>6.52</v>
      </c>
      <c r="JA115" s="1">
        <v>6.4</v>
      </c>
      <c r="JB115" s="1">
        <v>8.3800000000000008</v>
      </c>
      <c r="JC115" s="1">
        <v>6.65</v>
      </c>
      <c r="JD115" s="1">
        <v>6.97</v>
      </c>
      <c r="JE115" s="1">
        <v>7.2</v>
      </c>
      <c r="JF115" s="1">
        <v>7.37</v>
      </c>
      <c r="JG115" s="1">
        <v>7.56</v>
      </c>
      <c r="JH115" s="1">
        <v>7.69</v>
      </c>
      <c r="JI115" s="1">
        <v>8.0299999999999994</v>
      </c>
      <c r="JJ115" s="1">
        <v>8.2200000000000006</v>
      </c>
      <c r="JK115" s="1">
        <v>7.72</v>
      </c>
      <c r="JL115" s="1">
        <v>7.08</v>
      </c>
      <c r="JM115" s="1">
        <v>6.08</v>
      </c>
      <c r="JN115" s="1">
        <v>6.17</v>
      </c>
      <c r="JO115" s="1">
        <v>6.59</v>
      </c>
      <c r="JP115" s="1">
        <v>6.71</v>
      </c>
      <c r="JQ115" s="1">
        <v>6.92</v>
      </c>
      <c r="JR115" s="1">
        <v>6.97</v>
      </c>
      <c r="JS115" s="1">
        <v>7.26</v>
      </c>
      <c r="JT115" s="1">
        <v>7.54</v>
      </c>
      <c r="JU115" s="1">
        <v>7.86</v>
      </c>
      <c r="JV115" s="1">
        <v>8.23</v>
      </c>
      <c r="JW115" s="1">
        <v>8.3000000000000007</v>
      </c>
      <c r="JX115" s="1">
        <v>8.0399999999999991</v>
      </c>
      <c r="JY115" s="1">
        <v>7.29</v>
      </c>
      <c r="JZ115" s="1">
        <v>6.27</v>
      </c>
      <c r="KA115" s="1">
        <v>4.67</v>
      </c>
      <c r="KB115" s="1">
        <v>4.16</v>
      </c>
      <c r="KC115" s="1">
        <v>4.47</v>
      </c>
      <c r="KD115" s="1">
        <v>4.78</v>
      </c>
      <c r="KE115" s="1"/>
      <c r="KF115" s="1"/>
      <c r="KG115" s="1">
        <v>6.23</v>
      </c>
      <c r="KH115" s="1">
        <v>6.5</v>
      </c>
      <c r="KI115" s="1">
        <v>5.62</v>
      </c>
      <c r="KJ115" s="1">
        <v>4.33</v>
      </c>
      <c r="KK115" s="1">
        <v>3.05</v>
      </c>
      <c r="KL115" s="1">
        <v>2.44</v>
      </c>
      <c r="KM115" s="1">
        <v>2.72</v>
      </c>
      <c r="KN115" s="1">
        <v>2.77</v>
      </c>
      <c r="KO115" s="1">
        <v>2.8</v>
      </c>
      <c r="KP115" s="1">
        <v>3.32</v>
      </c>
      <c r="KQ115" s="1">
        <v>3.8</v>
      </c>
      <c r="KR115" s="1">
        <v>3.94</v>
      </c>
      <c r="KS115" s="1">
        <v>4.76</v>
      </c>
      <c r="KT115" s="1">
        <v>4.5999999999999996</v>
      </c>
      <c r="KU115" s="1">
        <v>4.49</v>
      </c>
      <c r="KV115" s="1">
        <v>2.85</v>
      </c>
      <c r="KW115" s="1">
        <v>2.34</v>
      </c>
      <c r="KX115" s="1">
        <v>2.2799999999999998</v>
      </c>
      <c r="KY115" s="1">
        <v>2.42</v>
      </c>
      <c r="KZ115" s="1">
        <v>2.83</v>
      </c>
      <c r="LA115" s="1">
        <v>3.12</v>
      </c>
      <c r="LB115" s="1">
        <v>3.17</v>
      </c>
      <c r="LC115" s="1">
        <v>4.1500000000000004</v>
      </c>
      <c r="LD115" s="1">
        <v>3.25</v>
      </c>
      <c r="LE115" s="1">
        <v>4.5999999999999996</v>
      </c>
      <c r="LF115" s="1">
        <v>4.92</v>
      </c>
      <c r="LG115" s="1">
        <v>2.97</v>
      </c>
      <c r="LH115" s="1">
        <v>2.31</v>
      </c>
      <c r="LI115" s="1">
        <v>2.7300000000000004</v>
      </c>
      <c r="LJ115" s="1">
        <v>2.25</v>
      </c>
      <c r="LK115" s="1">
        <v>2.3199999999999998</v>
      </c>
      <c r="LL115" s="1">
        <v>2.94</v>
      </c>
      <c r="LM115" s="1">
        <v>3.3400000000000003</v>
      </c>
      <c r="LN115" s="1">
        <v>3.67</v>
      </c>
      <c r="LO115" s="1">
        <v>3.95</v>
      </c>
      <c r="LP115" s="1">
        <v>4.2300000000000004</v>
      </c>
      <c r="LQ115" s="1">
        <v>4.6399999999999997</v>
      </c>
      <c r="LR115" s="1">
        <v>5.54</v>
      </c>
      <c r="LS115" s="1">
        <v>4.42</v>
      </c>
      <c r="LT115" s="1">
        <v>3.04</v>
      </c>
      <c r="LU115" s="1">
        <v>2.8200000000000003</v>
      </c>
      <c r="LV115" s="1">
        <v>2.96</v>
      </c>
      <c r="LW115" s="1">
        <v>3.99</v>
      </c>
      <c r="LX115" s="1">
        <v>3.2500000000000004</v>
      </c>
      <c r="LY115" s="1">
        <v>3.4000000000000004</v>
      </c>
      <c r="LZ115" s="1">
        <v>3.74</v>
      </c>
      <c r="MA115" s="1">
        <v>4.29</v>
      </c>
      <c r="MB115" s="1">
        <v>4.92</v>
      </c>
      <c r="MC115" s="1">
        <v>5.32</v>
      </c>
      <c r="MD115" s="1">
        <v>5.56</v>
      </c>
      <c r="ME115" s="1">
        <v>4.2</v>
      </c>
      <c r="MF115" s="1">
        <v>3.15</v>
      </c>
      <c r="MG115" s="1">
        <v>2.25</v>
      </c>
      <c r="MH115" s="1">
        <v>2.4700000000000002</v>
      </c>
      <c r="MI115" s="1">
        <v>2.67</v>
      </c>
      <c r="MJ115" s="1">
        <v>3.21</v>
      </c>
      <c r="MK115" s="1">
        <v>3.67</v>
      </c>
      <c r="ML115" s="1">
        <v>4.17</v>
      </c>
      <c r="MM115" s="1">
        <v>4.7700000000000005</v>
      </c>
      <c r="MN115" s="1">
        <v>4.97</v>
      </c>
      <c r="MO115" s="1">
        <v>5.83</v>
      </c>
      <c r="MP115" s="1">
        <v>5.47</v>
      </c>
      <c r="MQ115" s="1">
        <v>4.9000000000000004</v>
      </c>
      <c r="MR115" s="1">
        <v>3.3</v>
      </c>
      <c r="MS115" s="1">
        <v>2.97</v>
      </c>
      <c r="MT115">
        <v>1.6</v>
      </c>
      <c r="MU115">
        <v>1.8399999999999999</v>
      </c>
    </row>
    <row r="116" spans="1:359" ht="15.75" x14ac:dyDescent="0.25">
      <c r="A116" s="8" t="s">
        <v>0</v>
      </c>
      <c r="B116" s="39">
        <v>20559</v>
      </c>
      <c r="C116" s="39" t="s">
        <v>116</v>
      </c>
      <c r="D116" s="39" t="s">
        <v>134</v>
      </c>
      <c r="E116" s="39" t="s">
        <v>184</v>
      </c>
      <c r="F116" s="39" t="s">
        <v>4</v>
      </c>
      <c r="G116" s="39" t="s">
        <v>210</v>
      </c>
      <c r="H116" s="41">
        <v>38</v>
      </c>
      <c r="I116" s="39" t="s">
        <v>119</v>
      </c>
      <c r="J116" s="40">
        <v>97.87660000000001</v>
      </c>
      <c r="K116" s="39">
        <v>17.067661999999999</v>
      </c>
      <c r="L116" s="39">
        <v>80.511088999999998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>
        <v>4.7300000000000004</v>
      </c>
      <c r="GZ116" s="1">
        <v>5.03</v>
      </c>
      <c r="HA116" s="1">
        <v>5.03</v>
      </c>
      <c r="HB116" s="1">
        <v>5.78</v>
      </c>
      <c r="HC116" s="1">
        <v>4.38</v>
      </c>
      <c r="HD116" s="1">
        <v>2.92</v>
      </c>
      <c r="HE116" s="1">
        <v>2.8</v>
      </c>
      <c r="HF116" s="1">
        <v>1.6</v>
      </c>
      <c r="HG116" s="1">
        <v>1.23</v>
      </c>
      <c r="HH116" s="1">
        <v>2.5099999999999998</v>
      </c>
      <c r="HI116" s="1">
        <v>2.6</v>
      </c>
      <c r="HJ116" s="1">
        <v>3.01</v>
      </c>
      <c r="HK116" s="1">
        <v>2.72</v>
      </c>
      <c r="HL116" s="1">
        <v>2.92</v>
      </c>
      <c r="HM116" s="1">
        <v>4.0199999999999996</v>
      </c>
      <c r="HN116" s="1">
        <v>4.82</v>
      </c>
      <c r="HO116" s="1">
        <v>6.12</v>
      </c>
      <c r="HP116" s="1">
        <v>5.25</v>
      </c>
      <c r="HQ116" s="1">
        <v>2.35</v>
      </c>
      <c r="HR116" s="1">
        <v>2.86</v>
      </c>
      <c r="HS116" s="1">
        <v>1.87</v>
      </c>
      <c r="HT116" s="1">
        <v>2.3199999999999998</v>
      </c>
      <c r="HU116" s="1">
        <v>3.22</v>
      </c>
      <c r="HV116" s="1">
        <v>3.24</v>
      </c>
      <c r="HW116" s="1">
        <v>3.57</v>
      </c>
      <c r="HX116" s="1">
        <v>3.38</v>
      </c>
      <c r="HY116" s="1">
        <v>3.4</v>
      </c>
      <c r="HZ116" s="1">
        <v>1.31</v>
      </c>
      <c r="IA116" s="1">
        <v>2.64</v>
      </c>
      <c r="IB116" s="1">
        <v>3.15</v>
      </c>
      <c r="IC116" s="1">
        <v>2.77</v>
      </c>
      <c r="ID116" s="1">
        <v>2.81</v>
      </c>
      <c r="IE116" s="1">
        <v>5.19</v>
      </c>
      <c r="IF116" s="1">
        <v>5.41</v>
      </c>
      <c r="IG116" s="1">
        <v>5.09</v>
      </c>
      <c r="IH116" s="1">
        <v>7.86</v>
      </c>
      <c r="II116" s="1">
        <v>8.89</v>
      </c>
      <c r="IJ116" s="1">
        <v>8.75</v>
      </c>
      <c r="IK116" s="1">
        <v>8.52</v>
      </c>
      <c r="IL116" s="1">
        <v>8.67</v>
      </c>
      <c r="IM116" s="1">
        <v>6.73</v>
      </c>
      <c r="IN116" s="1">
        <v>7.86</v>
      </c>
      <c r="IO116" s="1">
        <v>8.1300000000000008</v>
      </c>
      <c r="IP116" s="1">
        <v>4.8499999999999996</v>
      </c>
      <c r="IQ116" s="1">
        <v>4.07</v>
      </c>
      <c r="IR116" s="1">
        <v>4.54</v>
      </c>
      <c r="IS116" s="1">
        <v>5.09</v>
      </c>
      <c r="IT116" s="1">
        <v>4.9800000000000004</v>
      </c>
      <c r="IU116" s="1">
        <v>5.18</v>
      </c>
      <c r="IV116" s="1">
        <v>5.62</v>
      </c>
      <c r="IW116" s="1">
        <v>6.46</v>
      </c>
      <c r="IX116" s="1">
        <v>6.94</v>
      </c>
      <c r="IY116" s="1">
        <v>3.94</v>
      </c>
      <c r="IZ116" s="1">
        <v>3.81</v>
      </c>
      <c r="JA116" s="1">
        <v>4.0999999999999996</v>
      </c>
      <c r="JB116" s="1">
        <v>4.75</v>
      </c>
      <c r="JC116" s="1">
        <v>4.68</v>
      </c>
      <c r="JD116" s="1">
        <v>4.34</v>
      </c>
      <c r="JE116" s="1">
        <v>4.12</v>
      </c>
      <c r="JF116" s="1">
        <v>3.73</v>
      </c>
      <c r="JG116" s="1">
        <v>3.82</v>
      </c>
      <c r="JH116" s="1">
        <v>3.37</v>
      </c>
      <c r="JI116" s="1">
        <v>4.8</v>
      </c>
      <c r="JJ116" s="1">
        <v>5.59</v>
      </c>
      <c r="JK116" s="1">
        <v>4.6399999999999997</v>
      </c>
      <c r="JL116" s="1">
        <v>0.77</v>
      </c>
      <c r="JM116" s="1">
        <v>3.47</v>
      </c>
      <c r="JN116" s="1">
        <v>2.96</v>
      </c>
      <c r="JO116" s="1">
        <v>2.86</v>
      </c>
      <c r="JP116" s="1">
        <v>2.98</v>
      </c>
      <c r="JQ116" s="1">
        <v>3.33</v>
      </c>
      <c r="JR116" s="1">
        <v>4.8</v>
      </c>
      <c r="JS116" s="1">
        <v>5.93</v>
      </c>
      <c r="JT116" s="1">
        <v>5.93</v>
      </c>
      <c r="JU116" s="1">
        <v>7.87</v>
      </c>
      <c r="JV116" s="1">
        <v>7.46</v>
      </c>
      <c r="JW116" s="1">
        <v>9.11</v>
      </c>
      <c r="JX116" s="1">
        <v>8.15</v>
      </c>
      <c r="JY116" s="1">
        <v>3.54</v>
      </c>
      <c r="JZ116" s="1">
        <v>2.95</v>
      </c>
      <c r="KA116" s="1">
        <v>2.46</v>
      </c>
      <c r="KB116" s="1">
        <v>2.77</v>
      </c>
      <c r="KC116" s="1">
        <v>3.05</v>
      </c>
      <c r="KD116" s="1">
        <v>3.48</v>
      </c>
      <c r="KE116" s="1"/>
      <c r="KF116" s="1"/>
      <c r="KG116" s="1">
        <v>4.4400000000000004</v>
      </c>
      <c r="KH116" s="1">
        <v>3.57</v>
      </c>
      <c r="KI116" s="1">
        <v>1.99</v>
      </c>
      <c r="KJ116" s="1">
        <v>1.46</v>
      </c>
      <c r="KK116" s="1">
        <v>1.35</v>
      </c>
      <c r="KL116" s="1">
        <v>1.41</v>
      </c>
      <c r="KM116" s="1">
        <v>2</v>
      </c>
      <c r="KN116" s="1">
        <v>2.21</v>
      </c>
      <c r="KO116" s="1">
        <v>3.3</v>
      </c>
      <c r="KP116" s="1">
        <v>3.72</v>
      </c>
      <c r="KQ116" s="1">
        <v>4.04</v>
      </c>
      <c r="KR116" s="1">
        <v>4.2</v>
      </c>
      <c r="KS116" s="1">
        <v>3.79</v>
      </c>
      <c r="KT116" s="1">
        <v>3.59</v>
      </c>
      <c r="KU116" s="1">
        <v>1.57</v>
      </c>
      <c r="KV116" s="1">
        <v>0.83</v>
      </c>
      <c r="KW116" s="1">
        <v>0.88</v>
      </c>
      <c r="KX116" s="1">
        <v>1.48</v>
      </c>
      <c r="KY116" s="1">
        <v>1.49</v>
      </c>
      <c r="KZ116" s="1">
        <v>2.17</v>
      </c>
      <c r="LA116" s="1">
        <v>2.5</v>
      </c>
      <c r="LB116" s="1">
        <v>2.87</v>
      </c>
      <c r="LC116" s="1">
        <v>3.08</v>
      </c>
      <c r="LD116" s="1">
        <v>2.25</v>
      </c>
      <c r="LE116" s="1">
        <v>3.61</v>
      </c>
      <c r="LF116" s="1">
        <v>4.3600000000000003</v>
      </c>
      <c r="LG116" s="1">
        <v>2.11</v>
      </c>
      <c r="LH116" s="1">
        <v>0.90999999999999981</v>
      </c>
      <c r="LI116" s="1">
        <v>1.88</v>
      </c>
      <c r="LJ116" s="1">
        <v>1.56</v>
      </c>
      <c r="LK116" s="1">
        <v>1.6399999999999997</v>
      </c>
      <c r="LL116" s="1">
        <v>2.29</v>
      </c>
      <c r="LM116" s="1">
        <v>2.82</v>
      </c>
      <c r="LN116" s="1">
        <v>3.1599999999999997</v>
      </c>
      <c r="LO116" s="1">
        <v>2.81</v>
      </c>
      <c r="LP116" s="1">
        <v>2.5299999999999998</v>
      </c>
      <c r="LQ116" s="1">
        <v>3.21</v>
      </c>
      <c r="LR116" s="1">
        <v>4.76</v>
      </c>
      <c r="LS116" s="1">
        <v>1.6099999999999999</v>
      </c>
      <c r="LT116" s="1">
        <v>2.1399999999999997</v>
      </c>
      <c r="LU116" s="1">
        <v>2.44</v>
      </c>
      <c r="LV116" s="1">
        <v>3.8400000000000003</v>
      </c>
      <c r="LW116" s="1">
        <v>4.7</v>
      </c>
      <c r="LX116" s="1">
        <v>3.28</v>
      </c>
      <c r="LY116" s="1">
        <v>5.29</v>
      </c>
      <c r="LZ116" s="1">
        <v>5.7200000000000006</v>
      </c>
      <c r="MA116" s="1">
        <v>7.69</v>
      </c>
      <c r="MB116" s="1">
        <v>7.97</v>
      </c>
      <c r="MC116" s="1">
        <v>7.86</v>
      </c>
      <c r="MD116" s="1">
        <v>7.5000000000000009</v>
      </c>
      <c r="ME116" s="1">
        <v>3.7600000000000002</v>
      </c>
      <c r="MF116" s="1">
        <v>1.19</v>
      </c>
      <c r="MG116" s="1">
        <v>0.89999999999999991</v>
      </c>
      <c r="MH116" s="1">
        <v>0.86</v>
      </c>
      <c r="MI116" s="1">
        <v>1.6599999999999997</v>
      </c>
      <c r="MJ116" s="1">
        <v>1.9099999999999997</v>
      </c>
      <c r="MK116" s="1">
        <v>2.96</v>
      </c>
      <c r="ML116" s="1">
        <v>3.1599999999999997</v>
      </c>
      <c r="MM116" s="1">
        <v>2.9599999999999995</v>
      </c>
      <c r="MN116" s="1">
        <v>2.6599999999999997</v>
      </c>
      <c r="MO116" s="1">
        <v>3.5799999999999996</v>
      </c>
      <c r="MP116" s="1">
        <v>3.36</v>
      </c>
      <c r="MQ116" s="1">
        <v>3.06</v>
      </c>
      <c r="MR116" s="1">
        <v>1.1599999999999997</v>
      </c>
      <c r="MS116" s="1">
        <v>1.06</v>
      </c>
      <c r="MT116">
        <v>5.51</v>
      </c>
      <c r="MU116">
        <v>5.34</v>
      </c>
    </row>
    <row r="117" spans="1:359" ht="15.75" x14ac:dyDescent="0.25">
      <c r="A117" s="8" t="s">
        <v>0</v>
      </c>
      <c r="B117" s="39">
        <v>20573</v>
      </c>
      <c r="C117" s="39" t="s">
        <v>116</v>
      </c>
      <c r="D117" s="39" t="s">
        <v>150</v>
      </c>
      <c r="E117" s="39" t="s">
        <v>185</v>
      </c>
      <c r="F117" s="39" t="s">
        <v>186</v>
      </c>
      <c r="G117" s="39" t="s">
        <v>211</v>
      </c>
      <c r="H117" s="41">
        <v>15.75</v>
      </c>
      <c r="I117" s="39" t="s">
        <v>2</v>
      </c>
      <c r="J117" s="40">
        <v>20.5258</v>
      </c>
      <c r="K117" s="39">
        <v>16.492804799999998</v>
      </c>
      <c r="L117" s="39">
        <v>80.656049300000006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>
        <v>8.6300001139999996</v>
      </c>
      <c r="CD117" s="1">
        <v>7.1500000950000002</v>
      </c>
      <c r="CE117" s="1">
        <v>7.0100002290000001</v>
      </c>
      <c r="CF117" s="1">
        <v>8.6199998860000004</v>
      </c>
      <c r="CG117" s="1">
        <v>7.3800001139999996</v>
      </c>
      <c r="CH117" s="1">
        <v>8.6099996569999995</v>
      </c>
      <c r="CI117" s="1">
        <v>8.7700004580000002</v>
      </c>
      <c r="CJ117" s="1"/>
      <c r="CK117" s="1">
        <v>9.3199996949999999</v>
      </c>
      <c r="CL117" s="1">
        <v>9.4800004960000006</v>
      </c>
      <c r="CM117" s="1">
        <v>9.1700000760000009</v>
      </c>
      <c r="CN117" s="1"/>
      <c r="CO117" s="1">
        <v>8.3100004199999997</v>
      </c>
      <c r="CP117" s="1"/>
      <c r="CQ117" s="1"/>
      <c r="CR117" s="1"/>
      <c r="CS117" s="1">
        <v>9.1899995800000003</v>
      </c>
      <c r="CT117" s="1"/>
      <c r="CU117" s="1">
        <v>8.8699998860000004</v>
      </c>
      <c r="CV117" s="1"/>
      <c r="CW117" s="1">
        <v>9.3699998860000004</v>
      </c>
      <c r="CX117" s="1"/>
      <c r="CY117" s="1">
        <v>9.6899995800000003</v>
      </c>
      <c r="CZ117" s="1"/>
      <c r="DA117" s="1">
        <v>5.1300001139999996</v>
      </c>
      <c r="DB117" s="1"/>
      <c r="DC117" s="1">
        <v>7.8000001909999996</v>
      </c>
      <c r="DD117" s="1"/>
      <c r="DE117" s="1">
        <v>8.3500003809999992</v>
      </c>
      <c r="DF117" s="1"/>
      <c r="DG117" s="1"/>
      <c r="DH117" s="1"/>
      <c r="DI117" s="1">
        <v>8.8100004199999997</v>
      </c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>
        <v>9.4099998469999999</v>
      </c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>
        <v>6.5900001530000001</v>
      </c>
      <c r="EN117" s="1"/>
      <c r="EO117" s="1"/>
      <c r="EP117" s="1">
        <v>6.920000076</v>
      </c>
      <c r="EQ117" s="1">
        <v>6.4400000569999998</v>
      </c>
      <c r="ER117" s="1"/>
      <c r="ES117" s="1">
        <v>7.2199997900000001</v>
      </c>
      <c r="ET117" s="1"/>
      <c r="EU117" s="1">
        <v>7.4000000950000002</v>
      </c>
      <c r="EV117" s="1"/>
      <c r="EW117" s="1">
        <v>5.4899997709999999</v>
      </c>
      <c r="EX117" s="1"/>
      <c r="EY117" s="1">
        <v>6.1300001139999996</v>
      </c>
      <c r="EZ117" s="1"/>
      <c r="FA117" s="1">
        <v>6.9899997709999999</v>
      </c>
      <c r="FB117" s="1"/>
      <c r="FC117" s="1">
        <v>6.5999999049999998</v>
      </c>
      <c r="FD117" s="1"/>
      <c r="FE117" s="1">
        <v>7.5599999430000002</v>
      </c>
      <c r="FF117" s="1"/>
      <c r="FG117" s="1">
        <v>8.4399995800000003</v>
      </c>
      <c r="FH117" s="1"/>
      <c r="FI117" s="1">
        <v>7.3899998660000001</v>
      </c>
      <c r="FJ117" s="1"/>
      <c r="FK117" s="1">
        <v>6.2699999809999998</v>
      </c>
      <c r="FL117" s="1"/>
      <c r="FM117" s="1">
        <v>6.6100001339999999</v>
      </c>
      <c r="FN117" s="1"/>
      <c r="FO117" s="1">
        <v>6.5700001720000003</v>
      </c>
      <c r="FP117" s="1"/>
      <c r="FQ117" s="1"/>
      <c r="FR117" s="1"/>
      <c r="FS117" s="1">
        <v>7.25</v>
      </c>
      <c r="FT117" s="1">
        <v>6.1900000569999998</v>
      </c>
      <c r="FU117" s="1">
        <v>5.75</v>
      </c>
      <c r="FV117" s="1"/>
      <c r="FW117" s="1">
        <v>6.8499999049999998</v>
      </c>
      <c r="FX117" s="1"/>
      <c r="FY117" s="1">
        <v>7.5199999809999998</v>
      </c>
      <c r="FZ117" s="1"/>
      <c r="GA117" s="1">
        <v>8.0200004580000002</v>
      </c>
      <c r="GB117" s="1"/>
      <c r="GC117" s="1">
        <v>8.5</v>
      </c>
      <c r="GD117" s="1"/>
      <c r="GE117" s="1"/>
      <c r="GF117" s="1">
        <v>7.5999999049999998</v>
      </c>
      <c r="GG117" s="1">
        <v>6.8000001909999996</v>
      </c>
      <c r="GH117" s="1"/>
      <c r="GI117" s="1"/>
      <c r="GJ117" s="1">
        <v>7.8000001909999996</v>
      </c>
      <c r="GK117" s="1">
        <v>8.3900003430000005</v>
      </c>
      <c r="GL117" s="1"/>
      <c r="GM117" s="1">
        <v>8.3000001910000005</v>
      </c>
      <c r="GN117" s="1">
        <v>9.1300001139999996</v>
      </c>
      <c r="GO117" s="1">
        <v>8.8500003809999992</v>
      </c>
      <c r="GP117" s="1"/>
      <c r="GQ117" s="1">
        <v>8.6999998089999995</v>
      </c>
      <c r="GR117" s="1"/>
      <c r="GS117" s="1">
        <v>7.6199998860000004</v>
      </c>
      <c r="GT117" s="1"/>
      <c r="GU117" s="1">
        <v>7.4299998279999997</v>
      </c>
      <c r="GV117" s="1"/>
      <c r="GW117" s="1">
        <v>8.1700000760000009</v>
      </c>
      <c r="GX117" s="1"/>
      <c r="GY117" s="1">
        <v>8.8500003809999992</v>
      </c>
      <c r="GZ117" s="1"/>
      <c r="HA117" s="1">
        <v>9.3000001910000005</v>
      </c>
      <c r="HB117" s="1"/>
      <c r="HC117" s="1">
        <v>9.3800001139999996</v>
      </c>
      <c r="HD117" s="1"/>
      <c r="HE117" s="1">
        <v>8.7600002289999992</v>
      </c>
      <c r="HF117" s="1"/>
      <c r="HG117" s="1">
        <v>6.9000000950000002</v>
      </c>
      <c r="HH117" s="1"/>
      <c r="HI117" s="1">
        <v>7.6199998860000004</v>
      </c>
      <c r="HJ117" s="1">
        <v>7.7300000190000002</v>
      </c>
      <c r="HK117" s="1">
        <v>7.9699997900000001</v>
      </c>
      <c r="HL117" s="1">
        <v>6.4699997900000001</v>
      </c>
      <c r="HM117" s="1">
        <v>8.6400003430000005</v>
      </c>
      <c r="HN117" s="1">
        <v>8.9200000760000009</v>
      </c>
      <c r="HO117" s="1">
        <v>8.9200000760000009</v>
      </c>
      <c r="HP117" s="1">
        <v>8.9200000760000009</v>
      </c>
      <c r="HQ117" s="1">
        <v>7.6500000950000002</v>
      </c>
      <c r="HR117" s="1">
        <v>7.670000076</v>
      </c>
      <c r="HS117" s="1">
        <v>7.6199998860000004</v>
      </c>
      <c r="HT117" s="1">
        <v>8.0900001530000001</v>
      </c>
      <c r="HU117" s="1">
        <v>8.2100000380000004</v>
      </c>
      <c r="HV117" s="1">
        <v>8.8699998860000004</v>
      </c>
      <c r="HW117" s="1">
        <v>8.9700002669999996</v>
      </c>
      <c r="HX117" s="1">
        <v>9.4799995419999998</v>
      </c>
      <c r="HY117" s="1">
        <v>9.6599998469999999</v>
      </c>
      <c r="HZ117" s="1">
        <v>9</v>
      </c>
      <c r="IA117" s="1">
        <v>9.2100000380000004</v>
      </c>
      <c r="IB117" s="1">
        <v>9.0699996949999999</v>
      </c>
      <c r="IC117" s="1">
        <v>9.2299995419999998</v>
      </c>
      <c r="ID117" s="1">
        <v>9.5699996949999999</v>
      </c>
      <c r="IE117" s="1">
        <v>9.9300003050000001</v>
      </c>
      <c r="IF117" s="1">
        <v>9.8900003430000005</v>
      </c>
      <c r="IG117" s="1">
        <v>10.06999969</v>
      </c>
      <c r="IH117" s="1">
        <v>10.239999770000001</v>
      </c>
      <c r="II117" s="1">
        <v>10.369999890000001</v>
      </c>
      <c r="IJ117" s="1">
        <v>10.539999959999999</v>
      </c>
      <c r="IK117" s="1">
        <v>10.75</v>
      </c>
      <c r="IL117" s="1"/>
      <c r="IM117" s="1"/>
      <c r="IN117" s="1"/>
      <c r="IO117" s="1"/>
      <c r="IP117" s="1"/>
      <c r="IQ117" s="1"/>
      <c r="IR117" s="1"/>
      <c r="IS117" s="1">
        <v>9.8000000000000007</v>
      </c>
      <c r="IT117" s="1">
        <v>10.11</v>
      </c>
      <c r="IU117" s="1">
        <v>10.41</v>
      </c>
      <c r="IV117" s="1">
        <v>10.6</v>
      </c>
      <c r="IW117" s="1">
        <v>10.83</v>
      </c>
      <c r="IX117" s="1">
        <v>10.83</v>
      </c>
      <c r="IY117" s="1">
        <v>13.51</v>
      </c>
      <c r="IZ117" s="1">
        <v>10.33</v>
      </c>
      <c r="JA117" s="1">
        <v>10.050000000000001</v>
      </c>
      <c r="JB117" s="1">
        <v>10.039999999999999</v>
      </c>
      <c r="JC117" s="1">
        <v>10.07</v>
      </c>
      <c r="JD117" s="1">
        <v>10.19</v>
      </c>
      <c r="JE117" s="1">
        <v>10.42</v>
      </c>
      <c r="JF117" s="1">
        <v>10.65</v>
      </c>
      <c r="JG117" s="1">
        <v>10.93</v>
      </c>
      <c r="JH117" s="1">
        <v>11.03</v>
      </c>
      <c r="JI117" s="1">
        <v>11.22</v>
      </c>
      <c r="JJ117" s="1">
        <v>11.24</v>
      </c>
      <c r="JK117" s="1">
        <v>11.07</v>
      </c>
      <c r="JL117" s="1">
        <v>9.24</v>
      </c>
      <c r="JM117" s="1">
        <v>9.08</v>
      </c>
      <c r="JN117" s="1">
        <v>9.1999999999999993</v>
      </c>
      <c r="JO117" s="1">
        <v>9.58</v>
      </c>
      <c r="JP117" s="1">
        <v>9.86</v>
      </c>
      <c r="JQ117" s="1">
        <v>10.02</v>
      </c>
      <c r="JR117" s="1">
        <v>10.45</v>
      </c>
      <c r="JS117" s="1">
        <v>10.74</v>
      </c>
      <c r="JT117" s="1">
        <v>10.74</v>
      </c>
      <c r="JU117" s="1">
        <v>11.2</v>
      </c>
      <c r="JV117" s="1">
        <v>11.43</v>
      </c>
      <c r="JW117" s="1">
        <v>11.47</v>
      </c>
      <c r="JX117" s="1">
        <v>8.91</v>
      </c>
      <c r="JY117" s="1">
        <v>7.46</v>
      </c>
      <c r="JZ117" s="1">
        <v>7.65</v>
      </c>
      <c r="KA117" s="1">
        <v>7.94</v>
      </c>
      <c r="KB117" s="1">
        <v>8.35</v>
      </c>
      <c r="KC117" s="1">
        <v>9.08</v>
      </c>
      <c r="KD117" s="1">
        <v>9.1199999999999992</v>
      </c>
      <c r="KE117" s="1"/>
      <c r="KF117" s="1"/>
      <c r="KG117" s="1"/>
      <c r="KH117" s="1">
        <v>10.43</v>
      </c>
      <c r="KI117" s="1">
        <v>10.119999999999999</v>
      </c>
      <c r="KJ117" s="1">
        <v>8.2200000000000006</v>
      </c>
      <c r="KK117" s="1">
        <v>6.75</v>
      </c>
      <c r="KL117" s="1">
        <v>5.3</v>
      </c>
      <c r="KM117" s="1">
        <v>7.89</v>
      </c>
      <c r="KN117" s="1">
        <v>8.1199999999999992</v>
      </c>
      <c r="KO117" s="1">
        <v>8.84</v>
      </c>
      <c r="KP117" s="1">
        <v>9.27</v>
      </c>
      <c r="KQ117" s="1">
        <v>9.7899999999999991</v>
      </c>
      <c r="KR117" s="1">
        <v>9.86</v>
      </c>
      <c r="KS117" s="1">
        <v>9.92</v>
      </c>
      <c r="KT117" s="1">
        <v>9.61</v>
      </c>
      <c r="KU117" s="1">
        <v>9.1</v>
      </c>
      <c r="KV117" s="1">
        <v>7.91</v>
      </c>
      <c r="KW117" s="1">
        <v>7.54</v>
      </c>
      <c r="KX117" s="1">
        <v>7.46</v>
      </c>
      <c r="KY117" s="1">
        <v>7.28</v>
      </c>
      <c r="KZ117" s="1">
        <v>8.6300000000000008</v>
      </c>
      <c r="LA117" s="1">
        <v>9.02</v>
      </c>
      <c r="LB117" s="1">
        <v>9.2799999999999994</v>
      </c>
      <c r="LC117" s="1">
        <v>9.64</v>
      </c>
      <c r="LD117" s="1">
        <v>9.9700000000000006</v>
      </c>
      <c r="LE117" s="1">
        <v>10.32</v>
      </c>
      <c r="LF117" s="1">
        <v>10.220000000000001</v>
      </c>
      <c r="LG117" s="1">
        <v>7.62</v>
      </c>
      <c r="LH117" s="1">
        <v>7.06</v>
      </c>
      <c r="LI117" s="1">
        <v>7.15</v>
      </c>
      <c r="LJ117" s="1">
        <v>5.92</v>
      </c>
      <c r="LK117" s="1">
        <v>7.56</v>
      </c>
      <c r="LL117" s="1">
        <v>8.34</v>
      </c>
      <c r="LM117" s="1">
        <v>8.8099999999999987</v>
      </c>
      <c r="LN117" s="1">
        <v>9.35</v>
      </c>
      <c r="LO117" s="1">
        <v>9.69</v>
      </c>
      <c r="LP117" s="1">
        <v>9.93</v>
      </c>
      <c r="LQ117" s="1">
        <v>9.92</v>
      </c>
      <c r="LR117" s="1">
        <v>11.13</v>
      </c>
      <c r="LS117" s="1">
        <v>10.149999999999999</v>
      </c>
      <c r="LT117" s="1">
        <v>9.0499999999999989</v>
      </c>
      <c r="LU117" s="1">
        <v>9</v>
      </c>
      <c r="LV117" s="1">
        <v>9.2999999999999989</v>
      </c>
      <c r="LW117" s="1">
        <v>9.7099999999999991</v>
      </c>
      <c r="LX117" s="1">
        <v>9.379999999999999</v>
      </c>
      <c r="LY117" s="1">
        <v>9.94</v>
      </c>
      <c r="LZ117" s="1">
        <v>10.229999999999999</v>
      </c>
      <c r="MA117" s="1">
        <v>10.569999999999999</v>
      </c>
      <c r="MB117" s="1">
        <v>11.25</v>
      </c>
      <c r="MC117" s="1">
        <v>10.129999999999999</v>
      </c>
      <c r="MD117" s="1">
        <v>11.16</v>
      </c>
      <c r="ME117" s="1">
        <v>8.9</v>
      </c>
      <c r="MF117" s="1">
        <v>8.85</v>
      </c>
      <c r="MG117" s="1">
        <v>7.47</v>
      </c>
      <c r="MH117" s="1">
        <v>7.3199999999999994</v>
      </c>
      <c r="MI117" s="1">
        <v>8.1199999999999992</v>
      </c>
      <c r="MJ117" s="1">
        <v>9.02</v>
      </c>
      <c r="MK117" s="1">
        <v>9.6199999999999992</v>
      </c>
      <c r="ML117" s="1">
        <v>10.02</v>
      </c>
      <c r="MM117" s="1">
        <v>10.42</v>
      </c>
      <c r="MN117" s="1">
        <v>10.819999999999999</v>
      </c>
      <c r="MO117" s="1">
        <v>10.68</v>
      </c>
      <c r="MP117" s="1">
        <v>10.559999999999999</v>
      </c>
      <c r="MQ117" s="1">
        <v>10.319999999999999</v>
      </c>
      <c r="MR117" s="1">
        <v>6.72</v>
      </c>
      <c r="MS117" s="1">
        <v>5.92</v>
      </c>
      <c r="MT117">
        <v>7.02</v>
      </c>
      <c r="MU117">
        <v>7.73</v>
      </c>
    </row>
    <row r="118" spans="1:359" ht="15.75" x14ac:dyDescent="0.25">
      <c r="A118" s="8" t="s">
        <v>0</v>
      </c>
      <c r="B118" s="39">
        <v>21257</v>
      </c>
      <c r="C118" s="39" t="s">
        <v>116</v>
      </c>
      <c r="D118" s="39" t="s">
        <v>150</v>
      </c>
      <c r="E118" s="39" t="s">
        <v>187</v>
      </c>
      <c r="F118" s="39" t="s">
        <v>187</v>
      </c>
      <c r="G118" s="39" t="s">
        <v>210</v>
      </c>
      <c r="H118" s="41">
        <v>20</v>
      </c>
      <c r="I118" s="39" t="s">
        <v>2</v>
      </c>
      <c r="J118" s="40">
        <v>21.079699999999999</v>
      </c>
      <c r="K118" s="39">
        <v>16.509536400000002</v>
      </c>
      <c r="L118" s="39">
        <v>80.628797899999995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>
        <v>7.46</v>
      </c>
      <c r="IT118" s="1">
        <v>8.17</v>
      </c>
      <c r="IU118" s="1">
        <v>8.4499999999999993</v>
      </c>
      <c r="IV118" s="1">
        <v>8.75</v>
      </c>
      <c r="IW118" s="1">
        <v>9.01</v>
      </c>
      <c r="IX118" s="1">
        <v>8.41</v>
      </c>
      <c r="IY118" s="1">
        <v>7.49</v>
      </c>
      <c r="IZ118" s="1">
        <v>7.61</v>
      </c>
      <c r="JA118" s="1">
        <v>7.05</v>
      </c>
      <c r="JB118" s="1">
        <v>6.85</v>
      </c>
      <c r="JC118" s="1">
        <v>7.15</v>
      </c>
      <c r="JD118" s="1">
        <v>7.66</v>
      </c>
      <c r="JE118" s="1">
        <v>8.09</v>
      </c>
      <c r="JF118" s="1">
        <v>8.4</v>
      </c>
      <c r="JG118" s="1">
        <v>8.83</v>
      </c>
      <c r="JH118" s="1">
        <v>8.8699999999999992</v>
      </c>
      <c r="JI118" s="1">
        <v>8.98</v>
      </c>
      <c r="JJ118" s="1">
        <v>9.24</v>
      </c>
      <c r="JK118" s="1">
        <v>7.57</v>
      </c>
      <c r="JL118" s="1">
        <v>6.98</v>
      </c>
      <c r="JM118" s="1">
        <v>6.56</v>
      </c>
      <c r="JN118" s="1">
        <v>6.33</v>
      </c>
      <c r="JO118" s="1">
        <v>6.77</v>
      </c>
      <c r="JP118" s="1">
        <v>7</v>
      </c>
      <c r="JQ118" s="1">
        <v>7.41</v>
      </c>
      <c r="JR118" s="1">
        <v>8.1</v>
      </c>
      <c r="JS118" s="1">
        <v>8.5</v>
      </c>
      <c r="JT118" s="1">
        <v>8.6999999999999993</v>
      </c>
      <c r="JU118" s="1">
        <v>9.26</v>
      </c>
      <c r="JV118" s="1">
        <v>9.0500000000000007</v>
      </c>
      <c r="JW118" s="1">
        <v>9.02</v>
      </c>
      <c r="JX118" s="1">
        <v>7.24</v>
      </c>
      <c r="JY118" s="1">
        <v>5.58</v>
      </c>
      <c r="JZ118" s="1">
        <v>5.1100000000000003</v>
      </c>
      <c r="KA118" s="1">
        <v>5.31</v>
      </c>
      <c r="KB118" s="1">
        <v>6.19</v>
      </c>
      <c r="KC118" s="1">
        <v>6.89</v>
      </c>
      <c r="KD118" s="1">
        <v>7.34</v>
      </c>
      <c r="KE118" s="1"/>
      <c r="KF118" s="1"/>
      <c r="KG118" s="1"/>
      <c r="KH118" s="1">
        <v>8.2100000000000009</v>
      </c>
      <c r="KI118" s="1">
        <v>8.1300000000000008</v>
      </c>
      <c r="KJ118" s="1">
        <v>6.16</v>
      </c>
      <c r="KK118" s="1">
        <v>4.51</v>
      </c>
      <c r="KL118" s="1">
        <v>3.63</v>
      </c>
      <c r="KM118" s="1">
        <v>4.92</v>
      </c>
      <c r="KN118" s="1">
        <v>5.98</v>
      </c>
      <c r="KO118" s="1">
        <v>6.62</v>
      </c>
      <c r="KP118" s="1">
        <v>6.94</v>
      </c>
      <c r="KQ118" s="1">
        <v>7.28</v>
      </c>
      <c r="KR118" s="1">
        <v>7.5</v>
      </c>
      <c r="KS118" s="1">
        <v>8.1999999999999993</v>
      </c>
      <c r="KT118" s="1">
        <v>7.94</v>
      </c>
      <c r="KU118" s="1">
        <v>7.72</v>
      </c>
      <c r="KV118" s="1">
        <v>6.1</v>
      </c>
      <c r="KW118" s="1">
        <v>5.03</v>
      </c>
      <c r="KX118" s="1">
        <v>4.84</v>
      </c>
      <c r="KY118" s="1">
        <v>4.8499999999999996</v>
      </c>
      <c r="KZ118" s="1">
        <v>6.28</v>
      </c>
      <c r="LA118" s="1">
        <v>6.81</v>
      </c>
      <c r="LB118" s="1">
        <v>7.23</v>
      </c>
      <c r="LC118" s="1">
        <v>7.84</v>
      </c>
      <c r="LD118" s="1">
        <v>7.43</v>
      </c>
      <c r="LE118" s="1">
        <v>8.68</v>
      </c>
      <c r="LF118" s="1">
        <v>8.8000000000000007</v>
      </c>
      <c r="LG118" s="1">
        <v>7.69</v>
      </c>
      <c r="LH118" s="1">
        <v>6.7200000000000006</v>
      </c>
      <c r="LI118" s="1">
        <v>5.5</v>
      </c>
      <c r="LJ118" s="1">
        <v>4.68</v>
      </c>
      <c r="LK118" s="1">
        <v>5.69</v>
      </c>
      <c r="LL118" s="1">
        <v>6.8</v>
      </c>
      <c r="LM118" s="1">
        <v>7.45</v>
      </c>
      <c r="LN118" s="1">
        <v>8.0500000000000007</v>
      </c>
      <c r="LO118" s="1">
        <v>8.8500000000000014</v>
      </c>
      <c r="LP118" s="1">
        <v>9.06</v>
      </c>
      <c r="LQ118" s="1">
        <v>9.25</v>
      </c>
      <c r="LR118" s="1">
        <v>10.130000000000001</v>
      </c>
      <c r="LS118" s="1">
        <v>9.16</v>
      </c>
      <c r="LT118" s="1">
        <v>8.0400000000000009</v>
      </c>
      <c r="LU118" s="1">
        <v>7.5799999999999992</v>
      </c>
      <c r="LV118" s="1">
        <v>7.78</v>
      </c>
      <c r="LW118" s="1">
        <v>8.2200000000000006</v>
      </c>
      <c r="LX118" s="1">
        <v>7.87</v>
      </c>
      <c r="LY118" s="1">
        <v>8.7900000000000009</v>
      </c>
      <c r="LZ118" s="1">
        <v>9.1900000000000013</v>
      </c>
      <c r="MA118" s="1">
        <v>9.48</v>
      </c>
      <c r="MB118" s="1">
        <v>10.620000000000001</v>
      </c>
      <c r="MC118" s="1">
        <v>9.92</v>
      </c>
      <c r="MD118" s="1">
        <v>9.98</v>
      </c>
      <c r="ME118" s="1">
        <v>9.8800000000000008</v>
      </c>
      <c r="MF118" s="1">
        <v>7.9300000000000006</v>
      </c>
      <c r="MG118" s="1">
        <v>5.48</v>
      </c>
      <c r="MH118" s="1">
        <v>5.38</v>
      </c>
      <c r="MI118" s="1">
        <v>5.78</v>
      </c>
      <c r="MJ118" s="1">
        <v>7.28</v>
      </c>
      <c r="MK118" s="1">
        <v>8.4300000000000015</v>
      </c>
      <c r="ML118" s="1">
        <v>8.7800000000000011</v>
      </c>
      <c r="MM118" s="1">
        <v>9.2800000000000011</v>
      </c>
      <c r="MN118" s="1">
        <v>9.58</v>
      </c>
      <c r="MO118" s="1">
        <v>9.48</v>
      </c>
      <c r="MP118" s="1">
        <v>9.3800000000000008</v>
      </c>
      <c r="MQ118" s="1">
        <v>8.48</v>
      </c>
      <c r="MR118" s="1">
        <v>6.4799999999999995</v>
      </c>
      <c r="MS118" s="1">
        <v>5.18</v>
      </c>
      <c r="MT118">
        <v>4.38</v>
      </c>
      <c r="MU118">
        <v>4.51</v>
      </c>
    </row>
    <row r="119" spans="1:359" ht="15.75" x14ac:dyDescent="0.25">
      <c r="A119" s="8" t="s">
        <v>0</v>
      </c>
      <c r="B119" s="39">
        <v>50016</v>
      </c>
      <c r="C119" s="39" t="s">
        <v>116</v>
      </c>
      <c r="D119" s="39" t="s">
        <v>121</v>
      </c>
      <c r="E119" s="39" t="s">
        <v>29</v>
      </c>
      <c r="F119" s="39" t="s">
        <v>28</v>
      </c>
      <c r="G119" s="39" t="s">
        <v>212</v>
      </c>
      <c r="H119" s="41">
        <v>61.72</v>
      </c>
      <c r="I119" s="39" t="s">
        <v>61</v>
      </c>
      <c r="J119" s="40">
        <v>47.845729827880803</v>
      </c>
      <c r="K119" s="39">
        <v>16.725819000000001</v>
      </c>
      <c r="L119" s="39">
        <v>80.685940000000002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>
        <v>2.12</v>
      </c>
      <c r="IX119" s="1"/>
      <c r="IY119" s="1"/>
      <c r="IZ119" s="1"/>
      <c r="JA119" s="1"/>
      <c r="JB119" s="1"/>
      <c r="JC119" s="1">
        <v>1.02</v>
      </c>
      <c r="JD119" s="1">
        <v>2.54</v>
      </c>
      <c r="JE119" s="1">
        <v>3.19</v>
      </c>
      <c r="JF119" s="1">
        <v>3.67</v>
      </c>
      <c r="JG119" s="1">
        <v>4.43</v>
      </c>
      <c r="JH119" s="1">
        <v>4.8499999999999996</v>
      </c>
      <c r="JI119" s="1">
        <v>5.1100000000000003</v>
      </c>
      <c r="JJ119" s="1">
        <v>5.13</v>
      </c>
      <c r="JK119" s="1">
        <v>1.99</v>
      </c>
      <c r="JL119" s="1">
        <v>0.42</v>
      </c>
      <c r="JM119" s="1">
        <v>0.26</v>
      </c>
      <c r="JN119" s="1">
        <v>0.28000000000000003</v>
      </c>
      <c r="JO119" s="1">
        <v>1.79</v>
      </c>
      <c r="JP119" s="1">
        <v>1.17</v>
      </c>
      <c r="JQ119" s="1">
        <v>1.72</v>
      </c>
      <c r="JR119" s="1">
        <v>2.12</v>
      </c>
      <c r="JS119" s="1">
        <v>2.84</v>
      </c>
      <c r="JT119" s="1">
        <v>2.96</v>
      </c>
      <c r="JU119" s="1">
        <v>4.74</v>
      </c>
      <c r="JV119" s="1">
        <v>4.79</v>
      </c>
      <c r="JW119" s="1">
        <v>6.03</v>
      </c>
      <c r="JX119" s="1">
        <v>4.62</v>
      </c>
      <c r="JY119" s="1">
        <v>1.58</v>
      </c>
      <c r="JZ119" s="1">
        <v>1.1499999999999999</v>
      </c>
      <c r="KA119" s="1">
        <v>0.97</v>
      </c>
      <c r="KB119" s="1">
        <v>1.38</v>
      </c>
      <c r="KC119" s="1">
        <v>1.29</v>
      </c>
      <c r="KD119" s="1">
        <v>2.12</v>
      </c>
      <c r="KE119" s="1"/>
      <c r="KF119" s="1"/>
      <c r="KG119" s="1">
        <v>4.72</v>
      </c>
      <c r="KH119" s="1">
        <v>4.95</v>
      </c>
      <c r="KI119" s="1">
        <v>4.16</v>
      </c>
      <c r="KJ119" s="1">
        <v>0.4</v>
      </c>
      <c r="KK119" s="1">
        <v>1.26</v>
      </c>
      <c r="KL119" s="1">
        <v>0.25</v>
      </c>
      <c r="KM119" s="1">
        <v>1.49</v>
      </c>
      <c r="KN119" s="1">
        <v>0.79</v>
      </c>
      <c r="KO119" s="1">
        <v>0.98</v>
      </c>
      <c r="KP119" s="1">
        <v>1.42</v>
      </c>
      <c r="KQ119" s="1">
        <v>2.3199999999999998</v>
      </c>
      <c r="KR119" s="1">
        <v>2.39</v>
      </c>
      <c r="KS119" s="1">
        <v>2.61</v>
      </c>
      <c r="KT119" s="1">
        <v>2.46</v>
      </c>
      <c r="KU119" s="1">
        <v>0.42</v>
      </c>
      <c r="KV119" s="1">
        <v>0.39</v>
      </c>
      <c r="KW119" s="1">
        <v>0.36</v>
      </c>
      <c r="KX119" s="1">
        <v>0.64</v>
      </c>
      <c r="KY119" s="1">
        <v>0.23</v>
      </c>
      <c r="KZ119" s="1">
        <v>1.1499999999999999</v>
      </c>
      <c r="LA119" s="1">
        <v>1.17</v>
      </c>
      <c r="LB119" s="1">
        <v>1.47</v>
      </c>
      <c r="LC119" s="1">
        <v>1.8</v>
      </c>
      <c r="LD119" s="1">
        <v>2.25</v>
      </c>
      <c r="LE119" s="1">
        <v>2.34</v>
      </c>
      <c r="LF119" s="1">
        <v>1.51</v>
      </c>
      <c r="LG119" s="1">
        <v>0.66999999999999993</v>
      </c>
      <c r="LH119" s="1">
        <v>0.1</v>
      </c>
      <c r="LI119" s="1">
        <v>0.67000000000000015</v>
      </c>
      <c r="LJ119" s="1">
        <v>0.11999999999999988</v>
      </c>
      <c r="LK119" s="1">
        <v>0.39</v>
      </c>
      <c r="LL119" s="1">
        <v>0.86999999999999988</v>
      </c>
      <c r="LM119" s="1">
        <v>1.22</v>
      </c>
      <c r="LN119" s="1">
        <v>1.7699999999999998</v>
      </c>
      <c r="LO119" s="1">
        <v>2.17</v>
      </c>
      <c r="LP119" s="1">
        <v>2.5</v>
      </c>
      <c r="LQ119" s="1">
        <v>1.4000000000000001</v>
      </c>
      <c r="LR119" s="1">
        <v>2.1800000000000002</v>
      </c>
      <c r="LS119" s="1">
        <v>7.0000000000000062E-2</v>
      </c>
      <c r="LT119" s="1">
        <v>2.0000000000000018E-2</v>
      </c>
      <c r="LU119" s="1">
        <v>0.01</v>
      </c>
      <c r="LV119" s="1">
        <v>0.32000000000000006</v>
      </c>
      <c r="LW119" s="1">
        <v>0.7699999999999998</v>
      </c>
      <c r="LX119" s="1">
        <v>0.49999999999999978</v>
      </c>
      <c r="LY119" s="1">
        <v>0.65999999999999992</v>
      </c>
      <c r="LZ119" s="1">
        <v>1.0999999999999999</v>
      </c>
      <c r="MA119" s="1">
        <v>1.53</v>
      </c>
      <c r="MB119" s="1">
        <v>2.5</v>
      </c>
      <c r="MC119" s="1">
        <v>3.17</v>
      </c>
      <c r="MD119" s="1">
        <v>4.01</v>
      </c>
      <c r="ME119" s="1">
        <v>0.6</v>
      </c>
      <c r="MF119" s="1">
        <v>1.2</v>
      </c>
      <c r="MG119" s="1">
        <v>0.71000000000000008</v>
      </c>
      <c r="MH119" s="1">
        <v>0.16999999999999993</v>
      </c>
      <c r="MI119" s="1">
        <v>0.79</v>
      </c>
      <c r="MJ119" s="1">
        <v>1.1499999999999999</v>
      </c>
      <c r="MK119" s="1">
        <v>1.6</v>
      </c>
      <c r="ML119" s="1">
        <v>1.9</v>
      </c>
      <c r="MM119" s="1">
        <v>2.0700000000000003</v>
      </c>
      <c r="MN119" s="1">
        <v>2.7</v>
      </c>
      <c r="MO119" s="1">
        <v>2.4</v>
      </c>
      <c r="MP119" s="1">
        <v>2.65</v>
      </c>
      <c r="MQ119" s="1">
        <v>1.1000000000000001</v>
      </c>
      <c r="MR119" s="1">
        <v>0.7699999999999998</v>
      </c>
      <c r="MS119" s="1">
        <v>0.08</v>
      </c>
      <c r="MT119">
        <v>0.25</v>
      </c>
      <c r="MU119">
        <v>0.65</v>
      </c>
    </row>
    <row r="120" spans="1:359" ht="15.75" x14ac:dyDescent="0.25">
      <c r="A120" s="8" t="s">
        <v>0</v>
      </c>
      <c r="B120" s="39">
        <v>50017</v>
      </c>
      <c r="C120" s="39" t="s">
        <v>116</v>
      </c>
      <c r="D120" s="39" t="s">
        <v>121</v>
      </c>
      <c r="E120" s="39" t="s">
        <v>188</v>
      </c>
      <c r="F120" s="39" t="s">
        <v>189</v>
      </c>
      <c r="G120" s="39" t="s">
        <v>212</v>
      </c>
      <c r="H120" s="41">
        <v>46.75</v>
      </c>
      <c r="I120" s="39" t="s">
        <v>61</v>
      </c>
      <c r="J120" s="40">
        <v>43.665550000000003</v>
      </c>
      <c r="K120" s="39">
        <v>16.719977</v>
      </c>
      <c r="L120" s="39">
        <v>80.625414000000006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>
        <v>7.5</v>
      </c>
      <c r="IX120" s="1"/>
      <c r="IY120" s="1"/>
      <c r="IZ120" s="1"/>
      <c r="JA120" s="1"/>
      <c r="JB120" s="1"/>
      <c r="JC120" s="1">
        <v>5.65</v>
      </c>
      <c r="JD120" s="1">
        <v>6.45</v>
      </c>
      <c r="JE120" s="1">
        <v>6.85</v>
      </c>
      <c r="JF120" s="1">
        <v>7.47</v>
      </c>
      <c r="JG120" s="1">
        <v>8.8800000000000008</v>
      </c>
      <c r="JH120" s="1">
        <v>9.07</v>
      </c>
      <c r="JI120" s="1">
        <v>9.08</v>
      </c>
      <c r="JJ120" s="1">
        <v>9.36</v>
      </c>
      <c r="JK120" s="1">
        <v>9.24</v>
      </c>
      <c r="JL120" s="1">
        <v>8.17</v>
      </c>
      <c r="JM120" s="1">
        <v>7.45</v>
      </c>
      <c r="JN120" s="1">
        <v>7.49</v>
      </c>
      <c r="JO120" s="1">
        <v>8.3800000000000008</v>
      </c>
      <c r="JP120" s="1">
        <v>8.2200000000000006</v>
      </c>
      <c r="JQ120" s="1">
        <v>7.73</v>
      </c>
      <c r="JR120" s="1">
        <v>8.7899999999999991</v>
      </c>
      <c r="JS120" s="1">
        <v>8.9</v>
      </c>
      <c r="JT120" s="1">
        <v>9.36</v>
      </c>
      <c r="JU120" s="1">
        <v>9.41</v>
      </c>
      <c r="JV120" s="1">
        <v>10.220000000000001</v>
      </c>
      <c r="JW120" s="1">
        <v>11.12</v>
      </c>
      <c r="JX120" s="1">
        <v>9.84</v>
      </c>
      <c r="JY120" s="1">
        <v>9.9600000000000009</v>
      </c>
      <c r="JZ120" s="1">
        <v>8.84</v>
      </c>
      <c r="KA120" s="1">
        <v>6.64</v>
      </c>
      <c r="KB120" s="1">
        <v>7.1</v>
      </c>
      <c r="KC120" s="1">
        <v>7.43</v>
      </c>
      <c r="KD120" s="1">
        <v>7.72</v>
      </c>
      <c r="KE120" s="1"/>
      <c r="KF120" s="1"/>
      <c r="KG120" s="1">
        <v>9.09</v>
      </c>
      <c r="KH120" s="1">
        <v>9.2100000000000009</v>
      </c>
      <c r="KI120" s="1">
        <v>7.24</v>
      </c>
      <c r="KJ120" s="1">
        <v>8.68</v>
      </c>
      <c r="KK120" s="1">
        <v>4.9800000000000004</v>
      </c>
      <c r="KL120" s="1">
        <v>2.63</v>
      </c>
      <c r="KM120" s="1">
        <v>2.54</v>
      </c>
      <c r="KN120" s="1">
        <v>2.96</v>
      </c>
      <c r="KO120" s="1">
        <v>2.4700000000000002</v>
      </c>
      <c r="KP120" s="1">
        <v>2.89</v>
      </c>
      <c r="KQ120" s="1">
        <v>3.4</v>
      </c>
      <c r="KR120" s="1">
        <v>4.04</v>
      </c>
      <c r="KS120" s="1">
        <v>4.58</v>
      </c>
      <c r="KT120" s="1">
        <v>4.43</v>
      </c>
      <c r="KU120" s="1">
        <v>3.63</v>
      </c>
      <c r="KV120" s="1">
        <v>2.14</v>
      </c>
      <c r="KW120" s="1">
        <v>1.56</v>
      </c>
      <c r="KX120" s="1">
        <v>1.5</v>
      </c>
      <c r="KY120" s="1">
        <v>1.74</v>
      </c>
      <c r="KZ120" s="1">
        <v>2.11</v>
      </c>
      <c r="LA120" s="1">
        <v>2.12</v>
      </c>
      <c r="LB120" s="1">
        <v>2.4500000000000002</v>
      </c>
      <c r="LC120" s="1">
        <v>2.48</v>
      </c>
      <c r="LD120" s="1">
        <v>2.04</v>
      </c>
      <c r="LE120" s="1">
        <v>3.54</v>
      </c>
      <c r="LF120" s="1">
        <v>2.95</v>
      </c>
      <c r="LG120" s="1">
        <v>1.7399999999999998</v>
      </c>
      <c r="LH120" s="1">
        <v>1.55</v>
      </c>
      <c r="LI120" s="1">
        <v>2.02</v>
      </c>
      <c r="LJ120" s="1">
        <v>0.8899999999999999</v>
      </c>
      <c r="LK120" s="1">
        <v>1.19</v>
      </c>
      <c r="LL120" s="1">
        <v>1.69</v>
      </c>
      <c r="LM120" s="1">
        <v>2.04</v>
      </c>
      <c r="LN120" s="1">
        <v>2.4899999999999998</v>
      </c>
      <c r="LO120" s="1">
        <v>3.22</v>
      </c>
      <c r="LP120" s="1">
        <v>3.47</v>
      </c>
      <c r="LQ120" s="1">
        <v>4.8699999999999992</v>
      </c>
      <c r="LR120" s="1">
        <v>6.6</v>
      </c>
      <c r="LS120" s="1">
        <v>4.42</v>
      </c>
      <c r="LT120" s="1">
        <v>2.9999999999999996</v>
      </c>
      <c r="LU120" s="1">
        <v>2.46</v>
      </c>
      <c r="LV120" s="1">
        <v>2.04</v>
      </c>
      <c r="LW120" s="1">
        <v>1.48</v>
      </c>
      <c r="LX120" s="1">
        <v>1.81</v>
      </c>
      <c r="LY120" s="1">
        <v>1.94</v>
      </c>
      <c r="LZ120" s="1">
        <v>2.33</v>
      </c>
      <c r="MA120" s="1">
        <v>2.77</v>
      </c>
      <c r="MB120" s="1">
        <v>3.5100000000000002</v>
      </c>
      <c r="MC120" s="1">
        <v>5.1899999999999995</v>
      </c>
      <c r="MD120" s="1">
        <v>5.5299999999999994</v>
      </c>
      <c r="ME120" s="1">
        <v>4.24</v>
      </c>
      <c r="MF120" s="1">
        <v>4.1099999999999994</v>
      </c>
      <c r="MG120" s="1">
        <v>1.2799999999999998</v>
      </c>
      <c r="MH120" s="1">
        <v>0.4</v>
      </c>
      <c r="MI120" s="1">
        <v>1.05</v>
      </c>
      <c r="MJ120" s="1">
        <v>1.3</v>
      </c>
      <c r="MK120" s="1">
        <v>1.8</v>
      </c>
      <c r="ML120" s="1">
        <v>2.54</v>
      </c>
      <c r="MM120" s="1">
        <v>3.2</v>
      </c>
      <c r="MN120" s="1">
        <v>4.2</v>
      </c>
      <c r="MO120" s="1">
        <v>5.1999999999999993</v>
      </c>
      <c r="MP120" s="1">
        <v>5.6</v>
      </c>
      <c r="MQ120" s="1">
        <v>4.9000000000000004</v>
      </c>
      <c r="MR120" s="1">
        <v>4.2</v>
      </c>
      <c r="MS120" s="1">
        <v>1.65</v>
      </c>
      <c r="MT120">
        <v>1.4</v>
      </c>
      <c r="MU120">
        <v>2.2000000000000002</v>
      </c>
    </row>
    <row r="121" spans="1:359" ht="15.75" x14ac:dyDescent="0.25">
      <c r="A121" s="8" t="s">
        <v>0</v>
      </c>
      <c r="B121" s="39">
        <v>50015</v>
      </c>
      <c r="C121" s="39" t="s">
        <v>116</v>
      </c>
      <c r="D121" s="39" t="s">
        <v>117</v>
      </c>
      <c r="E121" s="39" t="s">
        <v>190</v>
      </c>
      <c r="F121" s="39" t="s">
        <v>4</v>
      </c>
      <c r="G121" s="39" t="s">
        <v>212</v>
      </c>
      <c r="H121" s="41">
        <v>75.87</v>
      </c>
      <c r="I121" s="39" t="s">
        <v>119</v>
      </c>
      <c r="J121" s="40">
        <v>99.902799999999999</v>
      </c>
      <c r="K121" s="39">
        <v>17.045749000000001</v>
      </c>
      <c r="L121" s="39">
        <v>80.662327000000005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>
        <v>7.79</v>
      </c>
      <c r="IX121" s="1"/>
      <c r="IY121" s="1"/>
      <c r="IZ121" s="1"/>
      <c r="JA121" s="1"/>
      <c r="JB121" s="1"/>
      <c r="JC121" s="1">
        <v>5.82</v>
      </c>
      <c r="JD121" s="1">
        <v>12.78</v>
      </c>
      <c r="JE121" s="1">
        <v>10.5</v>
      </c>
      <c r="JF121" s="1">
        <v>16.8</v>
      </c>
      <c r="JG121" s="1">
        <v>14.29</v>
      </c>
      <c r="JH121" s="1">
        <v>14.43</v>
      </c>
      <c r="JI121" s="1">
        <v>8.76</v>
      </c>
      <c r="JJ121" s="1">
        <v>8.4700000000000006</v>
      </c>
      <c r="JK121" s="1">
        <v>11.3</v>
      </c>
      <c r="JL121" s="1">
        <v>5.22</v>
      </c>
      <c r="JM121" s="1">
        <v>4.7699999999999996</v>
      </c>
      <c r="JN121" s="1">
        <v>4.93</v>
      </c>
      <c r="JO121" s="1">
        <v>4.2699999999999996</v>
      </c>
      <c r="JP121" s="1">
        <v>4.22</v>
      </c>
      <c r="JQ121" s="1">
        <v>5.9</v>
      </c>
      <c r="JR121" s="1">
        <v>13.11</v>
      </c>
      <c r="JS121" s="1">
        <v>7.65</v>
      </c>
      <c r="JT121" s="1">
        <v>6.81</v>
      </c>
      <c r="JU121" s="1">
        <v>7.45</v>
      </c>
      <c r="JV121" s="1">
        <v>8.17</v>
      </c>
      <c r="JW121" s="1">
        <v>9.1999999999999993</v>
      </c>
      <c r="JX121" s="1">
        <v>11.68</v>
      </c>
      <c r="JY121" s="1">
        <v>3.91</v>
      </c>
      <c r="JZ121" s="1">
        <v>2.4700000000000002</v>
      </c>
      <c r="KA121" s="1">
        <v>3.79</v>
      </c>
      <c r="KB121" s="1">
        <v>4.18</v>
      </c>
      <c r="KC121" s="1">
        <v>4.46</v>
      </c>
      <c r="KD121" s="1">
        <v>5.1100000000000003</v>
      </c>
      <c r="KE121" s="1"/>
      <c r="KF121" s="1"/>
      <c r="KG121" s="1">
        <v>5.87</v>
      </c>
      <c r="KH121" s="1">
        <v>5.2</v>
      </c>
      <c r="KI121" s="1">
        <v>4.95</v>
      </c>
      <c r="KJ121" s="1">
        <v>2.67</v>
      </c>
      <c r="KK121" s="1">
        <v>2.39</v>
      </c>
      <c r="KL121" s="1">
        <v>2.09</v>
      </c>
      <c r="KM121" s="1">
        <v>2.88</v>
      </c>
      <c r="KN121" s="1">
        <v>2.83</v>
      </c>
      <c r="KO121" s="1">
        <v>11.45</v>
      </c>
      <c r="KP121" s="1">
        <v>8.43</v>
      </c>
      <c r="KQ121" s="1">
        <v>8.77</v>
      </c>
      <c r="KR121" s="1">
        <v>9.01</v>
      </c>
      <c r="KS121" s="1">
        <v>9.6</v>
      </c>
      <c r="KT121" s="1">
        <v>8.83</v>
      </c>
      <c r="KU121" s="1">
        <v>8.65</v>
      </c>
      <c r="KV121" s="1">
        <v>3.37</v>
      </c>
      <c r="KW121" s="1">
        <v>2.61</v>
      </c>
      <c r="KX121" s="1">
        <v>3.07</v>
      </c>
      <c r="KY121" s="1">
        <v>2.63</v>
      </c>
      <c r="KZ121" s="1">
        <v>3.17</v>
      </c>
      <c r="LA121" s="1">
        <v>3.28</v>
      </c>
      <c r="LB121" s="1">
        <v>6.17</v>
      </c>
      <c r="LC121" s="1">
        <v>6.33</v>
      </c>
      <c r="LD121" s="1">
        <v>2.15</v>
      </c>
      <c r="LE121" s="1">
        <v>2.3199999999999998</v>
      </c>
      <c r="LF121" s="1">
        <v>3.77</v>
      </c>
      <c r="LG121" s="1">
        <v>2.37</v>
      </c>
      <c r="LH121" s="1">
        <v>2.2000000000000002</v>
      </c>
      <c r="LI121" s="1">
        <v>2.1399999999999997</v>
      </c>
      <c r="LJ121" s="1">
        <v>1.1700000000000002</v>
      </c>
      <c r="LK121" s="1">
        <v>3.4499999999999997</v>
      </c>
      <c r="LL121" s="1">
        <v>2.95</v>
      </c>
      <c r="LM121" s="1">
        <v>8.83</v>
      </c>
      <c r="LN121" s="1">
        <v>12.31</v>
      </c>
      <c r="LO121" s="1">
        <v>10.020000000000001</v>
      </c>
      <c r="LP121" s="1">
        <v>13.450000000000001</v>
      </c>
      <c r="LQ121" s="1">
        <v>4.37</v>
      </c>
      <c r="LR121" s="1">
        <v>6.5</v>
      </c>
      <c r="LS121" s="1">
        <v>3.8</v>
      </c>
      <c r="LT121" s="1">
        <v>3.67</v>
      </c>
      <c r="LU121" s="1">
        <v>7.87</v>
      </c>
      <c r="LV121" s="1">
        <v>8.120000000000001</v>
      </c>
      <c r="LW121" s="1">
        <v>8.5100000000000016</v>
      </c>
      <c r="LX121" s="1">
        <v>4.5699999999999994</v>
      </c>
      <c r="LY121" s="1">
        <v>13.600000000000001</v>
      </c>
      <c r="LZ121" s="1">
        <v>15.070000000000002</v>
      </c>
      <c r="MA121" s="1">
        <v>17.57</v>
      </c>
      <c r="MB121" s="1">
        <v>14.290000000000001</v>
      </c>
      <c r="MC121" s="1">
        <v>11.42</v>
      </c>
      <c r="MD121" s="1">
        <v>10.010000000000002</v>
      </c>
      <c r="ME121" s="1">
        <v>6.9</v>
      </c>
      <c r="MF121" s="1">
        <v>4.6099999999999994</v>
      </c>
      <c r="MG121" s="1">
        <v>6.43</v>
      </c>
      <c r="MH121" s="1">
        <v>7.669999999999999</v>
      </c>
      <c r="MI121" s="1">
        <v>3.95</v>
      </c>
      <c r="MJ121" s="1">
        <v>5.67</v>
      </c>
      <c r="MK121" s="1">
        <v>7.7700000000000005</v>
      </c>
      <c r="ML121" s="1">
        <v>11.5</v>
      </c>
      <c r="MM121" s="1">
        <v>14.3</v>
      </c>
      <c r="MN121" s="1">
        <v>6.6</v>
      </c>
      <c r="MO121" s="1">
        <v>5.6</v>
      </c>
      <c r="MP121" s="1">
        <v>6.1</v>
      </c>
      <c r="MQ121" s="1">
        <v>5.9</v>
      </c>
      <c r="MR121" s="1">
        <v>2.9</v>
      </c>
      <c r="MS121" s="1">
        <v>1.9</v>
      </c>
      <c r="MT121">
        <v>1.8</v>
      </c>
      <c r="MU121">
        <v>3.75</v>
      </c>
    </row>
    <row r="122" spans="1:359" ht="15.75" x14ac:dyDescent="0.25">
      <c r="A122" s="8" t="s">
        <v>0</v>
      </c>
      <c r="B122" s="39">
        <v>50014</v>
      </c>
      <c r="C122" s="39" t="s">
        <v>116</v>
      </c>
      <c r="D122" s="39" t="s">
        <v>117</v>
      </c>
      <c r="E122" s="39" t="s">
        <v>191</v>
      </c>
      <c r="F122" s="39" t="s">
        <v>79</v>
      </c>
      <c r="G122" s="39" t="s">
        <v>212</v>
      </c>
      <c r="H122" s="41">
        <v>43.419999999999995</v>
      </c>
      <c r="I122" s="39" t="s">
        <v>119</v>
      </c>
      <c r="J122" s="40">
        <v>100.2773</v>
      </c>
      <c r="K122" s="39">
        <v>16.884824999999999</v>
      </c>
      <c r="L122" s="39">
        <v>80.642689000000004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>
        <v>2.8</v>
      </c>
      <c r="IX122" s="1"/>
      <c r="IY122" s="1"/>
      <c r="IZ122" s="1"/>
      <c r="JA122" s="1"/>
      <c r="JB122" s="1"/>
      <c r="JC122" s="1">
        <v>3.45</v>
      </c>
      <c r="JD122" s="1">
        <v>3.45</v>
      </c>
      <c r="JE122" s="1">
        <v>3.57</v>
      </c>
      <c r="JF122" s="1">
        <v>3.63</v>
      </c>
      <c r="JG122" s="1">
        <v>3.77</v>
      </c>
      <c r="JH122" s="1">
        <v>3.91</v>
      </c>
      <c r="JI122" s="1">
        <v>4.22</v>
      </c>
      <c r="JJ122" s="1">
        <v>4.04</v>
      </c>
      <c r="JK122" s="1">
        <v>2.85</v>
      </c>
      <c r="JL122" s="1">
        <v>1.44</v>
      </c>
      <c r="JM122" s="1">
        <v>2.48</v>
      </c>
      <c r="JN122" s="1">
        <v>2.87</v>
      </c>
      <c r="JO122" s="1">
        <v>3.3</v>
      </c>
      <c r="JP122" s="1">
        <v>2.97</v>
      </c>
      <c r="JQ122" s="1">
        <v>3.32</v>
      </c>
      <c r="JR122" s="1">
        <v>3.62</v>
      </c>
      <c r="JS122" s="1">
        <v>4.37</v>
      </c>
      <c r="JT122" s="1">
        <v>5.24</v>
      </c>
      <c r="JU122" s="1">
        <v>5.82</v>
      </c>
      <c r="JV122" s="1">
        <v>6.02</v>
      </c>
      <c r="JW122" s="1">
        <v>6.63</v>
      </c>
      <c r="JX122" s="1">
        <v>4.97</v>
      </c>
      <c r="JY122" s="1">
        <v>3.85</v>
      </c>
      <c r="JZ122" s="1">
        <v>2.91</v>
      </c>
      <c r="KA122" s="1">
        <v>2.82</v>
      </c>
      <c r="KB122" s="1">
        <v>2.4300000000000002</v>
      </c>
      <c r="KC122" s="1">
        <v>2.69</v>
      </c>
      <c r="KD122" s="1">
        <v>2.86</v>
      </c>
      <c r="KE122" s="1"/>
      <c r="KF122" s="1"/>
      <c r="KG122" s="1">
        <v>4.07</v>
      </c>
      <c r="KH122" s="1">
        <v>4.62</v>
      </c>
      <c r="KI122" s="1">
        <v>1.95</v>
      </c>
      <c r="KJ122" s="1">
        <v>1.69</v>
      </c>
      <c r="KK122" s="1">
        <v>2.21</v>
      </c>
      <c r="KL122" s="1">
        <v>1.22</v>
      </c>
      <c r="KM122" s="1">
        <v>2.0699999999999998</v>
      </c>
      <c r="KN122" s="1">
        <v>2.11</v>
      </c>
      <c r="KO122" s="1">
        <v>2.54</v>
      </c>
      <c r="KP122" s="1">
        <v>2.79</v>
      </c>
      <c r="KQ122" s="1">
        <v>3.67</v>
      </c>
      <c r="KR122" s="1">
        <v>3.37</v>
      </c>
      <c r="KS122" s="1">
        <v>3.12</v>
      </c>
      <c r="KT122" s="1">
        <v>3.2</v>
      </c>
      <c r="KU122" s="1">
        <v>1.1200000000000001</v>
      </c>
      <c r="KV122" s="1">
        <v>2.2200000000000002</v>
      </c>
      <c r="KW122" s="1">
        <v>1.81</v>
      </c>
      <c r="KX122" s="1">
        <v>2.09</v>
      </c>
      <c r="KY122" s="1">
        <v>2.17</v>
      </c>
      <c r="KZ122" s="1">
        <v>2.61</v>
      </c>
      <c r="LA122" s="1">
        <v>2.42</v>
      </c>
      <c r="LB122" s="1">
        <v>2.67</v>
      </c>
      <c r="LC122" s="1">
        <v>3.05</v>
      </c>
      <c r="LD122" s="1">
        <v>2.37</v>
      </c>
      <c r="LE122" s="1">
        <v>3.37</v>
      </c>
      <c r="LF122" s="1">
        <v>3.84</v>
      </c>
      <c r="LG122" s="1">
        <v>2.0599999999999996</v>
      </c>
      <c r="LH122" s="1">
        <v>1.22</v>
      </c>
      <c r="LI122" s="1">
        <v>1.7900000000000003</v>
      </c>
      <c r="LJ122" s="1">
        <v>1.7699999999999998</v>
      </c>
      <c r="LK122" s="1">
        <v>1.9700000000000002</v>
      </c>
      <c r="LL122" s="1">
        <v>2.3200000000000003</v>
      </c>
      <c r="LM122" s="1">
        <v>2.91</v>
      </c>
      <c r="LN122" s="1">
        <v>3.63</v>
      </c>
      <c r="LO122" s="1">
        <v>3.51</v>
      </c>
      <c r="LP122" s="1">
        <v>3.83</v>
      </c>
      <c r="LQ122" s="1">
        <v>4.12</v>
      </c>
      <c r="LR122" s="1">
        <v>5.43</v>
      </c>
      <c r="LS122" s="1">
        <v>3.17</v>
      </c>
      <c r="LT122" s="1">
        <v>2.3499999999999996</v>
      </c>
      <c r="LU122" s="1">
        <v>2.2199999999999998</v>
      </c>
      <c r="LV122" s="1">
        <v>2.63</v>
      </c>
      <c r="LW122" s="1">
        <v>3.51</v>
      </c>
      <c r="LX122" s="1">
        <v>2.6399999999999997</v>
      </c>
      <c r="LY122" s="1">
        <v>3.12</v>
      </c>
      <c r="LZ122" s="1">
        <v>3.87</v>
      </c>
      <c r="MA122" s="1">
        <v>5</v>
      </c>
      <c r="MB122" s="1">
        <v>5.31</v>
      </c>
      <c r="MC122" s="1">
        <v>5.8199999999999994</v>
      </c>
      <c r="MD122" s="1">
        <v>6.56</v>
      </c>
      <c r="ME122" s="1">
        <v>3.97</v>
      </c>
      <c r="MF122" s="1">
        <v>3.0699999999999994</v>
      </c>
      <c r="MG122" s="1">
        <v>1.75</v>
      </c>
      <c r="MH122" s="1">
        <v>1.55</v>
      </c>
      <c r="MI122" s="1">
        <v>2.2699999999999996</v>
      </c>
      <c r="MJ122" s="1">
        <v>2.9699999999999998</v>
      </c>
      <c r="MK122" s="1">
        <v>4.0699999999999994</v>
      </c>
      <c r="ML122" s="1">
        <v>4.37</v>
      </c>
      <c r="MM122" s="1">
        <v>4.5699999999999994</v>
      </c>
      <c r="MN122" s="1">
        <v>4.7699999999999996</v>
      </c>
      <c r="MO122" s="1">
        <v>5.2</v>
      </c>
      <c r="MP122" s="1">
        <v>4.87</v>
      </c>
      <c r="MQ122" s="1">
        <v>2.5699999999999994</v>
      </c>
      <c r="MR122" s="1">
        <v>1.6700000000000002</v>
      </c>
      <c r="MS122" s="1">
        <v>1.07</v>
      </c>
      <c r="MT122">
        <v>1.85</v>
      </c>
      <c r="MU122">
        <v>2.4500000000000002</v>
      </c>
    </row>
    <row r="123" spans="1:359" ht="15.75" x14ac:dyDescent="0.25">
      <c r="A123" s="8" t="s">
        <v>0</v>
      </c>
      <c r="B123" s="39">
        <v>30421</v>
      </c>
      <c r="C123" s="39" t="s">
        <v>116</v>
      </c>
      <c r="D123" s="39" t="s">
        <v>117</v>
      </c>
      <c r="E123" s="39" t="s">
        <v>192</v>
      </c>
      <c r="F123" s="39" t="s">
        <v>4</v>
      </c>
      <c r="G123" s="39" t="s">
        <v>213</v>
      </c>
      <c r="H123" s="41">
        <v>63.6</v>
      </c>
      <c r="I123" s="39" t="s">
        <v>124</v>
      </c>
      <c r="J123" s="40">
        <v>99.370964050292898</v>
      </c>
      <c r="K123" s="39">
        <v>16.959627999999999</v>
      </c>
      <c r="L123" s="39">
        <v>80.693931000000006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>
        <v>2.41</v>
      </c>
      <c r="KL123" s="1">
        <v>2</v>
      </c>
      <c r="KM123" s="1">
        <v>2.89</v>
      </c>
      <c r="KN123" s="1">
        <v>2.52</v>
      </c>
      <c r="KO123" s="1">
        <v>5.4</v>
      </c>
      <c r="KP123" s="1">
        <v>6.35</v>
      </c>
      <c r="KQ123" s="1">
        <v>7.17</v>
      </c>
      <c r="KR123" s="1">
        <v>7.59</v>
      </c>
      <c r="KS123" s="1">
        <v>6.37</v>
      </c>
      <c r="KT123" s="1">
        <v>6.25</v>
      </c>
      <c r="KU123" s="1">
        <v>4.63</v>
      </c>
      <c r="KV123" s="1">
        <v>3.6</v>
      </c>
      <c r="KW123" s="1">
        <v>2.77</v>
      </c>
      <c r="KX123" s="1">
        <v>3.52</v>
      </c>
      <c r="KY123" s="1">
        <v>3.65</v>
      </c>
      <c r="KZ123" s="1">
        <v>3.7</v>
      </c>
      <c r="LA123" s="1">
        <v>3.91</v>
      </c>
      <c r="LB123" s="1">
        <v>4.95</v>
      </c>
      <c r="LC123" s="1">
        <v>5.12</v>
      </c>
      <c r="LD123" s="1">
        <v>4.8499999999999996</v>
      </c>
      <c r="LE123" s="1">
        <v>5.2</v>
      </c>
      <c r="LF123" s="1">
        <v>5.13</v>
      </c>
      <c r="LG123" s="1">
        <v>2.95</v>
      </c>
      <c r="LH123" s="1">
        <v>3.15</v>
      </c>
      <c r="LI123" s="1">
        <v>2.95</v>
      </c>
      <c r="LJ123" s="1">
        <v>3.56</v>
      </c>
      <c r="LK123" s="1">
        <v>3.5300000000000002</v>
      </c>
      <c r="LL123" s="1">
        <v>3.53</v>
      </c>
      <c r="LM123" s="1">
        <v>5.5</v>
      </c>
      <c r="LN123" s="1">
        <v>9.08</v>
      </c>
      <c r="LO123" s="1">
        <v>10.9</v>
      </c>
      <c r="LP123" s="1">
        <v>12.889999999999999</v>
      </c>
      <c r="LQ123" s="1">
        <v>7.5499999999999989</v>
      </c>
      <c r="LR123" s="1">
        <v>7.94</v>
      </c>
      <c r="LS123" s="1">
        <v>4.93</v>
      </c>
      <c r="LT123" s="1">
        <v>5.0299999999999994</v>
      </c>
      <c r="LU123" s="1">
        <v>4.4399999999999995</v>
      </c>
      <c r="LV123" s="1">
        <v>4.67</v>
      </c>
      <c r="LW123" s="1">
        <v>10.19</v>
      </c>
      <c r="LX123" s="1">
        <v>6.14</v>
      </c>
      <c r="LY123" s="1">
        <v>5.56</v>
      </c>
      <c r="LZ123" s="1">
        <v>6.6</v>
      </c>
      <c r="MA123" s="1">
        <v>6.33</v>
      </c>
      <c r="MB123" s="1">
        <v>7.23</v>
      </c>
      <c r="MC123" s="1">
        <v>7.4599999999999991</v>
      </c>
      <c r="MD123" s="1">
        <v>8.0400000000000009</v>
      </c>
      <c r="ME123" s="1">
        <v>8.0399999999999991</v>
      </c>
      <c r="MF123" s="1">
        <v>5.0999999999999996</v>
      </c>
      <c r="MG123" s="1">
        <v>3.7399999999999998</v>
      </c>
      <c r="MH123" s="1">
        <v>4.3</v>
      </c>
      <c r="MI123" s="1">
        <v>4</v>
      </c>
      <c r="MJ123" s="1">
        <v>4.88</v>
      </c>
      <c r="MK123" s="1">
        <v>7.9</v>
      </c>
      <c r="ML123" s="1">
        <v>11.1</v>
      </c>
      <c r="MM123" s="1">
        <v>14</v>
      </c>
      <c r="MN123" s="1">
        <v>9.7999999999999989</v>
      </c>
      <c r="MO123" s="1">
        <v>8.35</v>
      </c>
      <c r="MP123" s="1">
        <v>7.5</v>
      </c>
      <c r="MQ123" s="1">
        <v>8.6</v>
      </c>
      <c r="MR123" s="1">
        <v>5.3</v>
      </c>
      <c r="MS123" s="1">
        <v>2.5</v>
      </c>
      <c r="MT123">
        <v>4</v>
      </c>
      <c r="MU123">
        <v>3.2</v>
      </c>
    </row>
    <row r="124" spans="1:359" ht="15.75" x14ac:dyDescent="0.25">
      <c r="A124" s="8" t="s">
        <v>0</v>
      </c>
      <c r="B124" s="39">
        <v>30149</v>
      </c>
      <c r="C124" s="39" t="s">
        <v>116</v>
      </c>
      <c r="D124" s="39" t="s">
        <v>120</v>
      </c>
      <c r="E124" s="39" t="s">
        <v>193</v>
      </c>
      <c r="F124" s="39" t="s">
        <v>4</v>
      </c>
      <c r="G124" s="39" t="s">
        <v>213</v>
      </c>
      <c r="H124" s="41">
        <v>50</v>
      </c>
      <c r="I124" s="39" t="s">
        <v>119</v>
      </c>
      <c r="J124" s="40">
        <v>35.167854309082003</v>
      </c>
      <c r="K124" s="39">
        <v>16.668634900000001</v>
      </c>
      <c r="L124" s="39">
        <v>80.144775199999998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>
        <v>3.92</v>
      </c>
      <c r="KL124" s="1">
        <v>2.75</v>
      </c>
      <c r="KM124" s="1">
        <v>4.7</v>
      </c>
      <c r="KN124" s="1">
        <v>4.97</v>
      </c>
      <c r="KO124" s="1">
        <v>5.0999999999999996</v>
      </c>
      <c r="KP124" s="1">
        <v>4.2300000000000004</v>
      </c>
      <c r="KQ124" s="1">
        <v>4.58</v>
      </c>
      <c r="KR124" s="1">
        <v>5.19</v>
      </c>
      <c r="KS124" s="1">
        <v>6.3</v>
      </c>
      <c r="KT124" s="1">
        <v>6.27</v>
      </c>
      <c r="KU124" s="1">
        <v>5.69</v>
      </c>
      <c r="KV124" s="1">
        <v>4.6399999999999997</v>
      </c>
      <c r="KW124" s="1">
        <v>4.3</v>
      </c>
      <c r="KX124" s="1">
        <v>4.1900000000000004</v>
      </c>
      <c r="KY124" s="1">
        <v>4.29</v>
      </c>
      <c r="KZ124" s="1">
        <v>5.17</v>
      </c>
      <c r="LA124" s="1">
        <v>5.31</v>
      </c>
      <c r="LB124" s="1">
        <v>5.56</v>
      </c>
      <c r="LC124" s="1">
        <v>5.4</v>
      </c>
      <c r="LD124" s="1">
        <v>6.08</v>
      </c>
      <c r="LE124" s="1">
        <v>6.43</v>
      </c>
      <c r="LF124" s="1">
        <v>6.54</v>
      </c>
      <c r="LG124" s="1">
        <v>5.4499999999999993</v>
      </c>
      <c r="LH124" s="1">
        <v>4.0999999999999996</v>
      </c>
      <c r="LI124" s="1">
        <v>3.97</v>
      </c>
      <c r="LJ124" s="1">
        <v>3.3000000000000003</v>
      </c>
      <c r="LK124" s="1">
        <v>3.9099999999999997</v>
      </c>
      <c r="LL124" s="1">
        <v>4.8</v>
      </c>
      <c r="LM124" s="1">
        <v>4.2949999999999999</v>
      </c>
      <c r="LN124" s="1">
        <v>5.2799999999999994</v>
      </c>
      <c r="LO124" s="1">
        <v>5.6199999999999992</v>
      </c>
      <c r="LP124" s="1">
        <v>5.72</v>
      </c>
      <c r="LQ124" s="1">
        <v>6.17</v>
      </c>
      <c r="LR124" s="1">
        <v>7.58</v>
      </c>
      <c r="LS124" s="1">
        <v>6.34</v>
      </c>
      <c r="LT124" s="1">
        <v>6.13</v>
      </c>
      <c r="LU124" s="1">
        <v>5.93</v>
      </c>
      <c r="LV124" s="1">
        <v>6.22</v>
      </c>
      <c r="LW124" s="1">
        <v>4.1399999999999997</v>
      </c>
      <c r="LX124" s="1">
        <v>3.3799999999999994</v>
      </c>
      <c r="LY124" s="1">
        <v>3.4200000000000004</v>
      </c>
      <c r="LZ124" s="1">
        <v>3.89</v>
      </c>
      <c r="MA124" s="1">
        <v>4.1199999999999992</v>
      </c>
      <c r="MB124" s="1">
        <v>5.0199999999999996</v>
      </c>
      <c r="MC124" s="1">
        <v>7</v>
      </c>
      <c r="MD124" s="1">
        <v>7.04</v>
      </c>
      <c r="ME124" s="1">
        <v>6.2</v>
      </c>
      <c r="MF124" s="1">
        <v>5.56</v>
      </c>
      <c r="MG124" s="1">
        <v>3.8</v>
      </c>
      <c r="MH124" s="1">
        <v>4</v>
      </c>
      <c r="MI124" s="1">
        <v>4.8</v>
      </c>
      <c r="MJ124" s="1">
        <v>4.6500000000000004</v>
      </c>
      <c r="MK124" s="1">
        <v>5.2</v>
      </c>
      <c r="ML124" s="1">
        <v>5.5</v>
      </c>
      <c r="MM124" s="1">
        <v>5.8</v>
      </c>
      <c r="MN124" s="1">
        <v>6.4</v>
      </c>
      <c r="MO124" s="1">
        <v>7.17</v>
      </c>
      <c r="MP124" s="1">
        <v>7.2</v>
      </c>
      <c r="MQ124" s="1">
        <v>7.1</v>
      </c>
      <c r="MR124" s="1">
        <v>4.9000000000000004</v>
      </c>
      <c r="MS124" s="1">
        <v>4.0999999999999996</v>
      </c>
      <c r="MT124">
        <v>3.9</v>
      </c>
      <c r="MU124">
        <v>3.66</v>
      </c>
    </row>
    <row r="125" spans="1:359" ht="15.75" x14ac:dyDescent="0.25">
      <c r="A125" s="8" t="s">
        <v>0</v>
      </c>
      <c r="B125" s="39">
        <v>30150</v>
      </c>
      <c r="C125" s="39" t="s">
        <v>116</v>
      </c>
      <c r="D125" s="39" t="s">
        <v>120</v>
      </c>
      <c r="E125" s="39" t="s">
        <v>194</v>
      </c>
      <c r="F125" s="39" t="s">
        <v>28</v>
      </c>
      <c r="G125" s="39" t="s">
        <v>213</v>
      </c>
      <c r="H125" s="41">
        <v>50</v>
      </c>
      <c r="I125" s="39" t="s">
        <v>119</v>
      </c>
      <c r="J125" s="40">
        <v>36.564617156982401</v>
      </c>
      <c r="K125" s="39">
        <v>16.644508500000001</v>
      </c>
      <c r="L125" s="39">
        <v>80.229368500000007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>
        <v>0.52</v>
      </c>
      <c r="KL125" s="1">
        <v>0.73</v>
      </c>
      <c r="KM125" s="1">
        <v>1.33</v>
      </c>
      <c r="KN125" s="1">
        <v>1.68</v>
      </c>
      <c r="KO125" s="1">
        <v>1.96</v>
      </c>
      <c r="KP125" s="1">
        <v>2.25</v>
      </c>
      <c r="KQ125" s="1">
        <v>2.71</v>
      </c>
      <c r="KR125" s="1">
        <v>3.04</v>
      </c>
      <c r="KS125" s="1">
        <v>3.25</v>
      </c>
      <c r="KT125" s="1">
        <v>3</v>
      </c>
      <c r="KU125" s="1">
        <v>2.36</v>
      </c>
      <c r="KV125" s="1">
        <v>1.78</v>
      </c>
      <c r="KW125" s="1">
        <v>1.1499999999999999</v>
      </c>
      <c r="KX125" s="1">
        <v>1.48</v>
      </c>
      <c r="KY125" s="1">
        <v>1.9</v>
      </c>
      <c r="KZ125" s="1">
        <v>1.97</v>
      </c>
      <c r="LA125" s="1">
        <v>1.97</v>
      </c>
      <c r="LB125" s="1">
        <v>1.98</v>
      </c>
      <c r="LC125" s="1">
        <v>1.99</v>
      </c>
      <c r="LD125" s="1">
        <v>2.29</v>
      </c>
      <c r="LE125" s="1">
        <v>2.4500000000000002</v>
      </c>
      <c r="LF125" s="1">
        <v>2.9</v>
      </c>
      <c r="LG125" s="1">
        <v>1.79</v>
      </c>
      <c r="LH125" s="1">
        <v>1.4299999999999997</v>
      </c>
      <c r="LI125" s="1">
        <v>1.8900000000000001</v>
      </c>
      <c r="LJ125" s="1">
        <v>0.95000000000000007</v>
      </c>
      <c r="LK125" s="1">
        <v>1.3099999999999996</v>
      </c>
      <c r="LL125" s="1">
        <v>1.5099999999999998</v>
      </c>
      <c r="LM125" s="1">
        <v>1.65</v>
      </c>
      <c r="LN125" s="1">
        <v>1.63</v>
      </c>
      <c r="LO125" s="1">
        <v>2.12</v>
      </c>
      <c r="LP125" s="1">
        <v>2.4499999999999997</v>
      </c>
      <c r="LQ125" s="1">
        <v>2.5299999999999998</v>
      </c>
      <c r="LR125" s="1">
        <v>3.65</v>
      </c>
      <c r="LS125" s="1">
        <v>2.5</v>
      </c>
      <c r="LT125" s="1">
        <v>2.0099999999999998</v>
      </c>
      <c r="LU125" s="1">
        <v>1.92</v>
      </c>
      <c r="LV125" s="1">
        <v>1.62</v>
      </c>
      <c r="LW125" s="1">
        <v>2.14</v>
      </c>
      <c r="LX125" s="1">
        <v>1.29</v>
      </c>
      <c r="LY125" s="1">
        <v>1.65</v>
      </c>
      <c r="LZ125" s="1">
        <v>2.2399999999999998</v>
      </c>
      <c r="MA125" s="1">
        <v>2.48</v>
      </c>
      <c r="MB125" s="1">
        <v>3.18</v>
      </c>
      <c r="MC125" s="1">
        <v>3.1699999999999995</v>
      </c>
      <c r="MD125" s="1">
        <v>3.09</v>
      </c>
      <c r="ME125" s="1">
        <v>1.35</v>
      </c>
      <c r="MF125" s="1">
        <v>1.2999999999999998</v>
      </c>
      <c r="MG125" s="1">
        <v>1.08</v>
      </c>
      <c r="MH125" s="1">
        <v>1.1499999999999999</v>
      </c>
      <c r="MI125" s="1">
        <v>1.5499999999999998</v>
      </c>
      <c r="MJ125" s="1">
        <v>1.7999999999999998</v>
      </c>
      <c r="MK125" s="1">
        <v>1.85</v>
      </c>
      <c r="ML125" s="1">
        <v>2.15</v>
      </c>
      <c r="MM125" s="1">
        <v>2.25</v>
      </c>
      <c r="MN125" s="1">
        <v>2.8</v>
      </c>
      <c r="MO125" s="1">
        <v>3.44</v>
      </c>
      <c r="MP125" s="1">
        <v>3.35</v>
      </c>
      <c r="MQ125" s="1">
        <v>3.4499999999999997</v>
      </c>
      <c r="MR125" s="1">
        <v>1.65</v>
      </c>
      <c r="MS125" s="1">
        <v>1.38</v>
      </c>
      <c r="MT125">
        <v>1.3</v>
      </c>
      <c r="MU125">
        <v>1.61</v>
      </c>
    </row>
    <row r="126" spans="1:359" ht="15.75" x14ac:dyDescent="0.25">
      <c r="A126" s="8" t="s">
        <v>0</v>
      </c>
      <c r="B126" s="39">
        <v>30154</v>
      </c>
      <c r="C126" s="39" t="s">
        <v>116</v>
      </c>
      <c r="D126" s="39" t="s">
        <v>121</v>
      </c>
      <c r="E126" s="39" t="s">
        <v>195</v>
      </c>
      <c r="F126" s="39" t="s">
        <v>4</v>
      </c>
      <c r="G126" s="39" t="s">
        <v>213</v>
      </c>
      <c r="H126" s="41">
        <v>59.1</v>
      </c>
      <c r="I126" s="39" t="s">
        <v>124</v>
      </c>
      <c r="J126" s="40">
        <v>52.086448669433501</v>
      </c>
      <c r="K126" s="39">
        <v>16.701292200000001</v>
      </c>
      <c r="L126" s="39">
        <v>80.547339699999995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>
        <v>8.33</v>
      </c>
      <c r="KL126" s="1">
        <v>5.76</v>
      </c>
      <c r="KM126" s="1">
        <v>5.25</v>
      </c>
      <c r="KN126" s="1">
        <v>4.9000000000000004</v>
      </c>
      <c r="KO126" s="1">
        <v>5.9</v>
      </c>
      <c r="KP126" s="1">
        <v>6.44</v>
      </c>
      <c r="KQ126" s="1">
        <v>6.99</v>
      </c>
      <c r="KR126" s="1">
        <v>7.76</v>
      </c>
      <c r="KS126" s="1">
        <v>8.43</v>
      </c>
      <c r="KT126" s="1">
        <v>8.34</v>
      </c>
      <c r="KU126" s="1">
        <v>7.84</v>
      </c>
      <c r="KV126" s="1">
        <v>5.13</v>
      </c>
      <c r="KW126" s="1">
        <v>5.49</v>
      </c>
      <c r="KX126" s="1">
        <v>4.16</v>
      </c>
      <c r="KY126" s="1">
        <v>4.6100000000000003</v>
      </c>
      <c r="KZ126" s="1">
        <v>6.19</v>
      </c>
      <c r="LA126" s="1">
        <v>5</v>
      </c>
      <c r="LB126" s="1">
        <v>5.27</v>
      </c>
      <c r="LC126" s="1">
        <v>6.13</v>
      </c>
      <c r="LD126" s="1">
        <v>6.74</v>
      </c>
      <c r="LE126" s="1">
        <v>7.37</v>
      </c>
      <c r="LF126" s="1">
        <v>7.95</v>
      </c>
      <c r="LG126" s="1">
        <v>6.5500000000000007</v>
      </c>
      <c r="LH126" s="1">
        <v>4.6800000000000006</v>
      </c>
      <c r="LI126" s="1">
        <v>4.91</v>
      </c>
      <c r="LJ126" s="1">
        <v>3.8000000000000003</v>
      </c>
      <c r="LK126" s="1">
        <v>4.080000000000001</v>
      </c>
      <c r="LL126" s="1">
        <v>4.42</v>
      </c>
      <c r="LM126" s="1">
        <v>5.5200000000000005</v>
      </c>
      <c r="LN126" s="1">
        <v>6.15</v>
      </c>
      <c r="LO126" s="1">
        <v>6.7</v>
      </c>
      <c r="LP126" s="1">
        <v>7.2000000000000011</v>
      </c>
      <c r="LQ126" s="1">
        <v>7.51</v>
      </c>
      <c r="LR126" s="1">
        <v>4.95</v>
      </c>
      <c r="LS126" s="1">
        <v>7.91</v>
      </c>
      <c r="LT126" s="1">
        <v>6.7</v>
      </c>
      <c r="LU126" s="1">
        <v>6.16</v>
      </c>
      <c r="LV126" s="1">
        <v>6.6000000000000005</v>
      </c>
      <c r="LW126" s="1">
        <v>7.04</v>
      </c>
      <c r="LX126" s="1">
        <v>6.72</v>
      </c>
      <c r="LY126" s="1">
        <v>6.7700000000000005</v>
      </c>
      <c r="LZ126" s="1">
        <v>7.3600000000000012</v>
      </c>
      <c r="MA126" s="1">
        <v>7.8600000000000012</v>
      </c>
      <c r="MB126" s="1">
        <v>9.35</v>
      </c>
      <c r="MC126" s="1">
        <v>9.84</v>
      </c>
      <c r="MD126" s="1">
        <v>10.39</v>
      </c>
      <c r="ME126" s="1">
        <v>8.4</v>
      </c>
      <c r="MF126" s="1">
        <v>7.6899999999999995</v>
      </c>
      <c r="MG126" s="1">
        <v>3.9499999999999997</v>
      </c>
      <c r="MH126" s="1">
        <v>3.85</v>
      </c>
      <c r="MI126" s="1">
        <v>4.3500000000000005</v>
      </c>
      <c r="MJ126" s="1">
        <v>4.75</v>
      </c>
      <c r="MK126" s="1">
        <v>5.5500000000000007</v>
      </c>
      <c r="ML126" s="1">
        <v>5.9</v>
      </c>
      <c r="MM126" s="1">
        <v>6.45</v>
      </c>
      <c r="MN126" s="1">
        <v>7.4</v>
      </c>
      <c r="MO126" s="1">
        <v>7.16</v>
      </c>
      <c r="MP126" s="1">
        <v>6.5500000000000007</v>
      </c>
      <c r="MQ126" s="1">
        <v>5.8</v>
      </c>
      <c r="MR126" s="1">
        <v>4.3</v>
      </c>
      <c r="MS126" s="1">
        <v>3.43</v>
      </c>
      <c r="MT126">
        <v>3.15</v>
      </c>
      <c r="MU126">
        <v>3.63</v>
      </c>
    </row>
    <row r="127" spans="1:359" ht="15.75" x14ac:dyDescent="0.25">
      <c r="A127" s="8" t="s">
        <v>0</v>
      </c>
      <c r="B127" s="39">
        <v>30115</v>
      </c>
      <c r="C127" s="39" t="s">
        <v>116</v>
      </c>
      <c r="D127" s="39" t="s">
        <v>125</v>
      </c>
      <c r="E127" s="39" t="s">
        <v>196</v>
      </c>
      <c r="F127" s="39" t="s">
        <v>79</v>
      </c>
      <c r="G127" s="39" t="s">
        <v>213</v>
      </c>
      <c r="H127" s="41">
        <v>50</v>
      </c>
      <c r="I127" s="39" t="s">
        <v>124</v>
      </c>
      <c r="J127" s="40">
        <v>80.279457092285099</v>
      </c>
      <c r="K127" s="39">
        <v>17.010580000000001</v>
      </c>
      <c r="L127" s="39">
        <v>80.429784999999995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>
        <v>2</v>
      </c>
      <c r="KL127" s="1">
        <v>0.22</v>
      </c>
      <c r="KM127" s="1">
        <v>0.14000000000000001</v>
      </c>
      <c r="KN127" s="1">
        <v>0.33</v>
      </c>
      <c r="KO127" s="1">
        <v>0.31</v>
      </c>
      <c r="KP127" s="1">
        <v>0.79</v>
      </c>
      <c r="KQ127" s="1">
        <v>1</v>
      </c>
      <c r="KR127" s="1">
        <v>0.82</v>
      </c>
      <c r="KS127" s="1">
        <v>0.9</v>
      </c>
      <c r="KT127" s="1">
        <v>0.82</v>
      </c>
      <c r="KU127" s="1">
        <v>0.75</v>
      </c>
      <c r="KV127" s="1">
        <v>0.18</v>
      </c>
      <c r="KW127" s="1">
        <v>0.26</v>
      </c>
      <c r="KX127" s="1">
        <v>0.9</v>
      </c>
      <c r="KY127" s="1">
        <v>0.16</v>
      </c>
      <c r="KZ127" s="1">
        <v>0.43</v>
      </c>
      <c r="LA127" s="1">
        <v>0.5</v>
      </c>
      <c r="LB127" s="1">
        <v>0.96</v>
      </c>
      <c r="LC127" s="1">
        <v>1.05</v>
      </c>
      <c r="LD127" s="1">
        <v>0.28000000000000003</v>
      </c>
      <c r="LE127" s="1">
        <v>1.01</v>
      </c>
      <c r="LF127" s="1">
        <v>0.88</v>
      </c>
      <c r="LG127" s="1">
        <v>0</v>
      </c>
      <c r="LH127" s="1">
        <v>0</v>
      </c>
      <c r="LI127" s="1">
        <v>4.0000000000000036E-2</v>
      </c>
      <c r="LJ127" s="1">
        <v>0</v>
      </c>
      <c r="LK127" s="1">
        <v>0</v>
      </c>
      <c r="LL127" s="1">
        <v>0.15000000000000002</v>
      </c>
      <c r="LM127" s="1">
        <v>0.38</v>
      </c>
      <c r="LN127" s="1">
        <v>0.57999999999999996</v>
      </c>
      <c r="LO127" s="1">
        <v>0.61</v>
      </c>
      <c r="LP127" s="1">
        <v>0.78999999999999992</v>
      </c>
      <c r="LQ127" s="1">
        <v>0.71000000000000008</v>
      </c>
      <c r="LR127" s="1">
        <v>1.75</v>
      </c>
      <c r="LS127" s="1">
        <v>0</v>
      </c>
      <c r="LT127" s="1">
        <v>9.9999999999999978E-2</v>
      </c>
      <c r="LU127" s="1">
        <v>8.0000000000000071E-2</v>
      </c>
      <c r="LV127" s="1">
        <v>0.15000000000000002</v>
      </c>
      <c r="LW127" s="1">
        <v>0.74999999999999989</v>
      </c>
      <c r="LX127" s="1">
        <v>0.37</v>
      </c>
      <c r="LY127" s="1">
        <v>0.62</v>
      </c>
      <c r="LZ127" s="1">
        <v>0.79999999999999993</v>
      </c>
      <c r="MA127" s="1">
        <v>1.1099999999999999</v>
      </c>
      <c r="MB127" s="1">
        <v>1.31</v>
      </c>
      <c r="MC127" s="1">
        <v>1.31</v>
      </c>
      <c r="MD127" s="1">
        <v>1.5500000000000003</v>
      </c>
      <c r="ME127" s="1">
        <v>0.26000000000000012</v>
      </c>
      <c r="MF127" s="1">
        <v>2.0000000000000018E-2</v>
      </c>
      <c r="MG127" s="1">
        <v>0</v>
      </c>
      <c r="MH127" s="1">
        <v>0</v>
      </c>
      <c r="MI127" s="1">
        <v>6.0000000000000053E-2</v>
      </c>
      <c r="MJ127" s="1">
        <v>0.16000000000000003</v>
      </c>
      <c r="MK127" s="1">
        <v>0.46000000000000008</v>
      </c>
      <c r="ML127" s="1">
        <v>0.55999999999999994</v>
      </c>
      <c r="MM127" s="1">
        <v>1.06</v>
      </c>
      <c r="MN127" s="1">
        <v>0.76000000000000012</v>
      </c>
      <c r="MO127" s="1">
        <v>1.06</v>
      </c>
      <c r="MP127" s="1">
        <v>0.46000000000000008</v>
      </c>
      <c r="MQ127" s="1">
        <v>0</v>
      </c>
      <c r="MR127" s="1">
        <v>5.9999999999999942E-2</v>
      </c>
      <c r="MS127" s="1">
        <v>0.26000000000000012</v>
      </c>
      <c r="MT127">
        <v>0</v>
      </c>
      <c r="MU127">
        <v>1.05</v>
      </c>
    </row>
    <row r="128" spans="1:359" ht="15.75" x14ac:dyDescent="0.25">
      <c r="A128" s="8" t="s">
        <v>0</v>
      </c>
      <c r="B128" s="39">
        <v>30157</v>
      </c>
      <c r="C128" s="39" t="s">
        <v>116</v>
      </c>
      <c r="D128" s="39" t="s">
        <v>131</v>
      </c>
      <c r="E128" s="39" t="s">
        <v>197</v>
      </c>
      <c r="F128" s="39" t="s">
        <v>4</v>
      </c>
      <c r="G128" s="39" t="s">
        <v>213</v>
      </c>
      <c r="H128" s="41">
        <v>59.1</v>
      </c>
      <c r="I128" s="39" t="s">
        <v>124</v>
      </c>
      <c r="J128" s="40">
        <v>26.288394927978501</v>
      </c>
      <c r="K128" s="39">
        <v>16.606363000000002</v>
      </c>
      <c r="L128" s="39">
        <v>80.488371999999998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>
        <v>2.57</v>
      </c>
      <c r="KL128" s="1">
        <v>0.24</v>
      </c>
      <c r="KM128" s="1">
        <v>0.5</v>
      </c>
      <c r="KN128" s="1">
        <v>1.05</v>
      </c>
      <c r="KO128" s="1">
        <v>2.1</v>
      </c>
      <c r="KP128" s="1">
        <v>2.74</v>
      </c>
      <c r="KQ128" s="1">
        <v>3.26</v>
      </c>
      <c r="KR128" s="1">
        <v>3.62</v>
      </c>
      <c r="KS128" s="1">
        <v>3.55</v>
      </c>
      <c r="KT128" s="1">
        <v>3.65</v>
      </c>
      <c r="KU128" s="1">
        <v>3.42</v>
      </c>
      <c r="KV128" s="1">
        <v>2.35</v>
      </c>
      <c r="KW128" s="1">
        <v>1.25</v>
      </c>
      <c r="KX128" s="1">
        <v>1.08</v>
      </c>
      <c r="KY128" s="1">
        <v>1.85</v>
      </c>
      <c r="KZ128" s="1">
        <v>2.4</v>
      </c>
      <c r="LA128" s="1">
        <v>2.2400000000000002</v>
      </c>
      <c r="LB128" s="1">
        <v>2.98</v>
      </c>
      <c r="LC128" s="1">
        <v>3.29</v>
      </c>
      <c r="LD128" s="1">
        <v>3.67</v>
      </c>
      <c r="LE128" s="1">
        <v>3.6</v>
      </c>
      <c r="LF128" s="1">
        <v>3.79</v>
      </c>
      <c r="LG128" s="1">
        <v>2.75</v>
      </c>
      <c r="LH128" s="1">
        <v>1.92</v>
      </c>
      <c r="LI128" s="1">
        <v>2.6100000000000003</v>
      </c>
      <c r="LJ128" s="1">
        <v>1.5</v>
      </c>
      <c r="LK128" s="1">
        <v>2.15</v>
      </c>
      <c r="LL128" s="1">
        <v>2.65</v>
      </c>
      <c r="LM128" s="1">
        <v>3.35</v>
      </c>
      <c r="LN128" s="1">
        <v>3.6</v>
      </c>
      <c r="LO128" s="1">
        <v>3.9</v>
      </c>
      <c r="LP128" s="1">
        <v>3.8000000000000003</v>
      </c>
      <c r="LQ128" s="1">
        <v>3.6999999999999997</v>
      </c>
      <c r="LR128" s="1">
        <v>4.9800000000000004</v>
      </c>
      <c r="LS128" s="1">
        <v>4.18</v>
      </c>
      <c r="LT128" s="1">
        <v>3.6999999999999997</v>
      </c>
      <c r="LU128" s="1">
        <v>2.7</v>
      </c>
      <c r="LV128" s="1">
        <v>3</v>
      </c>
      <c r="LW128" s="1">
        <v>3.4</v>
      </c>
      <c r="LX128" s="1">
        <v>2.6300000000000003</v>
      </c>
      <c r="LY128" s="1">
        <v>3.0300000000000002</v>
      </c>
      <c r="LZ128" s="1">
        <v>3.78</v>
      </c>
      <c r="MA128" s="1">
        <v>4</v>
      </c>
      <c r="MB128" s="1">
        <v>4.3499999999999996</v>
      </c>
      <c r="MC128" s="1">
        <v>4.25</v>
      </c>
      <c r="MD128" s="1">
        <v>4.2899999999999991</v>
      </c>
      <c r="ME128" s="1">
        <v>2.2999999999999998</v>
      </c>
      <c r="MF128" s="1">
        <v>1.85</v>
      </c>
      <c r="MG128" s="1">
        <v>0.4</v>
      </c>
      <c r="MH128" s="1">
        <v>0.49999999999999989</v>
      </c>
      <c r="MI128" s="1">
        <v>1.6</v>
      </c>
      <c r="MJ128" s="1">
        <v>2.4500000000000002</v>
      </c>
      <c r="MK128" s="1">
        <v>2.9</v>
      </c>
      <c r="ML128" s="1">
        <v>3.8</v>
      </c>
      <c r="MM128" s="1">
        <v>4.22</v>
      </c>
      <c r="MN128" s="1">
        <v>3.6999999999999997</v>
      </c>
      <c r="MO128" s="1">
        <v>2.9</v>
      </c>
      <c r="MP128" s="1">
        <v>2.6</v>
      </c>
      <c r="MQ128" s="1">
        <v>2.4</v>
      </c>
      <c r="MR128" s="1">
        <v>0.70000000000000007</v>
      </c>
      <c r="MS128" s="1">
        <v>1.07</v>
      </c>
      <c r="MT128">
        <v>0.2</v>
      </c>
      <c r="MU128">
        <v>2.1</v>
      </c>
    </row>
    <row r="129" spans="1:359" ht="15.75" x14ac:dyDescent="0.25">
      <c r="A129" s="8" t="s">
        <v>0</v>
      </c>
      <c r="B129" s="39">
        <v>30158</v>
      </c>
      <c r="C129" s="39" t="s">
        <v>116</v>
      </c>
      <c r="D129" s="39" t="s">
        <v>127</v>
      </c>
      <c r="E129" s="39" t="s">
        <v>198</v>
      </c>
      <c r="F129" s="39" t="s">
        <v>4</v>
      </c>
      <c r="G129" s="39" t="s">
        <v>213</v>
      </c>
      <c r="H129" s="41">
        <v>50</v>
      </c>
      <c r="I129" s="39" t="s">
        <v>129</v>
      </c>
      <c r="J129" s="40">
        <v>42.406215667724602</v>
      </c>
      <c r="K129" s="39">
        <v>16.863983000000001</v>
      </c>
      <c r="L129" s="39">
        <v>80.100266000000005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>
        <v>8.4600000000000009</v>
      </c>
      <c r="KL129" s="1">
        <v>2.85</v>
      </c>
      <c r="KM129" s="1">
        <v>10.9</v>
      </c>
      <c r="KN129" s="1">
        <v>10.88</v>
      </c>
      <c r="KO129" s="1">
        <v>11.31</v>
      </c>
      <c r="KP129" s="1">
        <v>11.7</v>
      </c>
      <c r="KQ129" s="1">
        <v>12.33</v>
      </c>
      <c r="KR129" s="1">
        <v>11.7</v>
      </c>
      <c r="KS129" s="1">
        <v>11.65</v>
      </c>
      <c r="KT129" s="1">
        <v>11.53</v>
      </c>
      <c r="KU129" s="1">
        <v>10.97</v>
      </c>
      <c r="KV129" s="1">
        <v>9.59</v>
      </c>
      <c r="KW129" s="1">
        <v>10.73</v>
      </c>
      <c r="KX129" s="1">
        <v>9.58</v>
      </c>
      <c r="KY129" s="1">
        <v>10.52</v>
      </c>
      <c r="KZ129" s="1">
        <v>12.78</v>
      </c>
      <c r="LA129" s="1">
        <v>12.37</v>
      </c>
      <c r="LB129" s="1">
        <v>12.81</v>
      </c>
      <c r="LC129" s="1">
        <v>11.68</v>
      </c>
      <c r="LD129" s="1">
        <v>12.44</v>
      </c>
      <c r="LE129" s="1">
        <v>13.2</v>
      </c>
      <c r="LF129" s="1">
        <v>13.33</v>
      </c>
      <c r="LG129" s="1">
        <v>8.48</v>
      </c>
      <c r="LH129" s="1">
        <v>9.94</v>
      </c>
      <c r="LI129" s="1">
        <v>11.6</v>
      </c>
      <c r="LJ129" s="1">
        <v>9.58</v>
      </c>
      <c r="LK129" s="1">
        <v>10.17</v>
      </c>
      <c r="LL129" s="1">
        <v>9.85</v>
      </c>
      <c r="LM129" s="1">
        <v>11.2</v>
      </c>
      <c r="LN129" s="1">
        <v>10.83</v>
      </c>
      <c r="LO129" s="1">
        <v>11.08</v>
      </c>
      <c r="LP129" s="1">
        <v>10.43</v>
      </c>
      <c r="LQ129" s="1">
        <v>10.85</v>
      </c>
      <c r="LR129" s="1">
        <v>11.66</v>
      </c>
      <c r="LS129" s="1">
        <v>11.06</v>
      </c>
      <c r="LT129" s="1">
        <v>11.53</v>
      </c>
      <c r="LU129" s="1">
        <v>11.43</v>
      </c>
      <c r="LV129" s="1">
        <v>11.709999999999999</v>
      </c>
      <c r="LW129" s="1">
        <v>11.67</v>
      </c>
      <c r="LX129" s="1">
        <v>11.22</v>
      </c>
      <c r="LY129" s="1">
        <v>11.23</v>
      </c>
      <c r="LZ129" s="1">
        <v>12.08</v>
      </c>
      <c r="MA129" s="1">
        <v>13.379999999999999</v>
      </c>
      <c r="MB129" s="1">
        <v>14.09</v>
      </c>
      <c r="MC129" s="1">
        <v>15.530000000000001</v>
      </c>
      <c r="MD129" s="1">
        <v>12.120000000000001</v>
      </c>
      <c r="ME129" s="1">
        <v>9.68</v>
      </c>
      <c r="MF129" s="1">
        <v>10.5</v>
      </c>
      <c r="MG129" s="1">
        <v>7.0200000000000005</v>
      </c>
      <c r="MH129" s="1">
        <v>9.08</v>
      </c>
      <c r="MI129" s="1">
        <v>10.18</v>
      </c>
      <c r="MJ129" s="1">
        <v>11.58</v>
      </c>
      <c r="MK129" s="1">
        <v>11.379999999999999</v>
      </c>
      <c r="ML129" s="1">
        <v>11.879999999999999</v>
      </c>
      <c r="MM129" s="1">
        <v>12.28</v>
      </c>
      <c r="MN129" s="1">
        <v>12.18</v>
      </c>
      <c r="MO129" s="1">
        <v>11.5</v>
      </c>
      <c r="MP129" s="1">
        <v>9.379999999999999</v>
      </c>
      <c r="MQ129" s="1">
        <v>11.379999999999999</v>
      </c>
      <c r="MR129" s="1">
        <v>5.88</v>
      </c>
      <c r="MS129" s="1">
        <v>5.4</v>
      </c>
      <c r="MT129">
        <v>10.08</v>
      </c>
      <c r="MU129">
        <v>9.99</v>
      </c>
    </row>
    <row r="130" spans="1:359" ht="15.75" x14ac:dyDescent="0.25">
      <c r="A130" s="8" t="s">
        <v>0</v>
      </c>
      <c r="B130" s="39">
        <v>50018</v>
      </c>
      <c r="C130" s="39" t="s">
        <v>116</v>
      </c>
      <c r="D130" s="39" t="s">
        <v>127</v>
      </c>
      <c r="E130" s="39" t="s">
        <v>199</v>
      </c>
      <c r="F130" s="39" t="s">
        <v>28</v>
      </c>
      <c r="G130" s="39" t="s">
        <v>213</v>
      </c>
      <c r="H130" s="41">
        <v>90.9</v>
      </c>
      <c r="I130" s="39" t="s">
        <v>119</v>
      </c>
      <c r="J130" s="40">
        <v>67.721641540527301</v>
      </c>
      <c r="K130" s="39">
        <v>16.930923199999999</v>
      </c>
      <c r="L130" s="39">
        <v>80.0904113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>
        <v>15.3</v>
      </c>
      <c r="KL130" s="1">
        <v>4</v>
      </c>
      <c r="KM130" s="1">
        <v>4.72</v>
      </c>
      <c r="KN130" s="1">
        <v>7.05</v>
      </c>
      <c r="KO130" s="1">
        <v>15.04</v>
      </c>
      <c r="KP130" s="1">
        <v>30.34</v>
      </c>
      <c r="KQ130" s="1">
        <v>33.1</v>
      </c>
      <c r="KR130" s="1">
        <v>59.8</v>
      </c>
      <c r="KS130" s="1">
        <v>45.85</v>
      </c>
      <c r="KT130" s="1">
        <v>8.3000000000000007</v>
      </c>
      <c r="KU130" s="1">
        <v>8.1300000000000008</v>
      </c>
      <c r="KV130" s="1">
        <v>9.75</v>
      </c>
      <c r="KW130" s="1">
        <v>17.8</v>
      </c>
      <c r="KX130" s="1">
        <v>25.05</v>
      </c>
      <c r="KY130" s="1">
        <v>25.35</v>
      </c>
      <c r="KZ130" s="1">
        <v>22.02</v>
      </c>
      <c r="LA130" s="1">
        <v>22.4</v>
      </c>
      <c r="LB130" s="1">
        <v>24</v>
      </c>
      <c r="LC130" s="1">
        <v>71.650000000000006</v>
      </c>
      <c r="LD130" s="1">
        <v>73.16</v>
      </c>
      <c r="LE130" s="1">
        <v>74.17</v>
      </c>
      <c r="LF130" s="1">
        <v>74.87</v>
      </c>
      <c r="LG130" s="1">
        <v>4.55</v>
      </c>
      <c r="LH130" s="1">
        <v>10.49</v>
      </c>
      <c r="LI130" s="1">
        <v>54.87</v>
      </c>
      <c r="LJ130" s="1">
        <v>25.75</v>
      </c>
      <c r="LK130" s="1">
        <v>17.669999999999998</v>
      </c>
      <c r="LL130" s="1">
        <v>24.55</v>
      </c>
      <c r="LM130" s="1">
        <v>36.799999999999997</v>
      </c>
      <c r="LN130" s="1">
        <v>70.25</v>
      </c>
      <c r="LO130" s="1">
        <v>67.150000000000006</v>
      </c>
      <c r="LP130" s="1">
        <v>66.349999999999994</v>
      </c>
      <c r="LQ130" s="1">
        <v>66.25</v>
      </c>
      <c r="LR130" s="1">
        <v>44.8</v>
      </c>
      <c r="LS130" s="1">
        <v>12.7</v>
      </c>
      <c r="LT130" s="1">
        <v>22.39</v>
      </c>
      <c r="LU130" s="1">
        <v>25.15</v>
      </c>
      <c r="LV130" s="1">
        <v>26.38</v>
      </c>
      <c r="LW130" s="1">
        <v>48.59</v>
      </c>
      <c r="LX130" s="1">
        <v>46.14</v>
      </c>
      <c r="LY130" s="1">
        <v>64.25</v>
      </c>
      <c r="LZ130" s="1">
        <v>68.25</v>
      </c>
      <c r="MA130" s="1">
        <v>72.25</v>
      </c>
      <c r="MB130" s="1">
        <v>39.25</v>
      </c>
      <c r="MC130" s="1">
        <v>44.35</v>
      </c>
      <c r="MD130" s="1">
        <v>9.74</v>
      </c>
      <c r="ME130" s="1">
        <v>6.65</v>
      </c>
      <c r="MF130" s="1">
        <v>16.100000000000001</v>
      </c>
      <c r="MG130" s="1">
        <v>25.2</v>
      </c>
      <c r="MH130" s="1">
        <v>24.9</v>
      </c>
      <c r="MI130" s="1">
        <v>16.149999999999999</v>
      </c>
      <c r="MJ130" s="1">
        <v>24.75</v>
      </c>
      <c r="MK130" s="1">
        <v>25.2</v>
      </c>
      <c r="ML130" s="1">
        <v>20.95</v>
      </c>
      <c r="MM130" s="1">
        <v>26.5</v>
      </c>
      <c r="MN130" s="1">
        <v>30.4</v>
      </c>
      <c r="MO130" s="1">
        <v>16.45</v>
      </c>
      <c r="MP130" s="1">
        <v>19.5</v>
      </c>
      <c r="MQ130" s="1">
        <v>20.100000000000001</v>
      </c>
      <c r="MR130" s="1">
        <v>18.5</v>
      </c>
      <c r="MS130" s="1">
        <v>19.5</v>
      </c>
      <c r="MT130">
        <v>7.02</v>
      </c>
      <c r="MU130">
        <v>7.73</v>
      </c>
    </row>
    <row r="131" spans="1:359" ht="15.75" x14ac:dyDescent="0.25">
      <c r="A131" s="8" t="s">
        <v>0</v>
      </c>
      <c r="B131" s="39">
        <v>30160</v>
      </c>
      <c r="C131" s="39" t="s">
        <v>116</v>
      </c>
      <c r="D131" s="39" t="s">
        <v>130</v>
      </c>
      <c r="E131" s="39" t="s">
        <v>200</v>
      </c>
      <c r="F131" s="39" t="s">
        <v>30</v>
      </c>
      <c r="G131" s="39" t="s">
        <v>213</v>
      </c>
      <c r="H131" s="41">
        <v>50</v>
      </c>
      <c r="I131" s="39" t="s">
        <v>119</v>
      </c>
      <c r="J131" s="40">
        <v>31.332986831665</v>
      </c>
      <c r="K131" s="39">
        <v>16.659300000000002</v>
      </c>
      <c r="L131" s="39">
        <v>80.410877777799996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>
        <v>3.1</v>
      </c>
      <c r="KL131" s="1">
        <v>1.55</v>
      </c>
      <c r="KM131" s="1">
        <v>2.75</v>
      </c>
      <c r="KN131" s="1">
        <v>3.66</v>
      </c>
      <c r="KO131" s="1">
        <v>4.6500000000000004</v>
      </c>
      <c r="KP131" s="1">
        <v>5.25</v>
      </c>
      <c r="KQ131" s="1">
        <v>5.88</v>
      </c>
      <c r="KR131" s="1">
        <v>7.03</v>
      </c>
      <c r="KS131" s="1">
        <v>7.74</v>
      </c>
      <c r="KT131" s="1">
        <v>7.52</v>
      </c>
      <c r="KU131" s="1">
        <v>7.7</v>
      </c>
      <c r="KV131" s="1">
        <v>3.95</v>
      </c>
      <c r="KW131" s="1">
        <v>4.04</v>
      </c>
      <c r="KX131" s="1">
        <v>3.09</v>
      </c>
      <c r="KY131" s="1">
        <v>3.91</v>
      </c>
      <c r="KZ131" s="1">
        <v>5.16</v>
      </c>
      <c r="LA131" s="1">
        <v>5.72</v>
      </c>
      <c r="LB131" s="1">
        <v>6.49</v>
      </c>
      <c r="LC131" s="1">
        <v>6.66</v>
      </c>
      <c r="LD131" s="1">
        <v>7.28</v>
      </c>
      <c r="LE131" s="1">
        <v>8.1300000000000008</v>
      </c>
      <c r="LF131" s="1">
        <v>8.48</v>
      </c>
      <c r="LG131" s="1">
        <v>6.11</v>
      </c>
      <c r="LH131" s="1">
        <v>3.2999999999999994</v>
      </c>
      <c r="LI131" s="1">
        <v>4.22</v>
      </c>
      <c r="LJ131" s="1">
        <v>2.6799999999999997</v>
      </c>
      <c r="LK131" s="1">
        <v>3.57</v>
      </c>
      <c r="LL131" s="1">
        <v>4.7299999999999995</v>
      </c>
      <c r="LM131" s="1">
        <v>5.58</v>
      </c>
      <c r="LN131" s="1">
        <v>6.26</v>
      </c>
      <c r="LO131" s="1">
        <v>6.79</v>
      </c>
      <c r="LP131" s="1">
        <v>9.5300000000000011</v>
      </c>
      <c r="LQ131" s="1">
        <v>8.0200000000000014</v>
      </c>
      <c r="LR131" s="1">
        <v>9.02</v>
      </c>
      <c r="LS131" s="1">
        <v>7.8299999999999992</v>
      </c>
      <c r="LT131" s="1">
        <v>4.78</v>
      </c>
      <c r="LU131" s="1">
        <v>4.46</v>
      </c>
      <c r="LV131" s="1">
        <v>3.7</v>
      </c>
      <c r="LW131" s="1">
        <v>5.6199999999999992</v>
      </c>
      <c r="LX131" s="1">
        <v>4.47</v>
      </c>
      <c r="LY131" s="1">
        <v>5.33</v>
      </c>
      <c r="LZ131" s="1">
        <v>6.11</v>
      </c>
      <c r="MA131" s="1">
        <v>7.4300000000000006</v>
      </c>
      <c r="MB131" s="1">
        <v>8.33</v>
      </c>
      <c r="MC131" s="1">
        <v>8.48</v>
      </c>
      <c r="MD131" s="1">
        <v>8.7200000000000006</v>
      </c>
      <c r="ME131" s="1">
        <v>6.3299999999999992</v>
      </c>
      <c r="MF131" s="1">
        <v>3.66</v>
      </c>
      <c r="MG131" s="1">
        <v>2.5499999999999998</v>
      </c>
      <c r="MH131" s="1">
        <v>3.03</v>
      </c>
      <c r="MI131" s="1">
        <v>3.63</v>
      </c>
      <c r="MJ131" s="1">
        <v>5.4799999999999995</v>
      </c>
      <c r="MK131" s="1">
        <v>6.66</v>
      </c>
      <c r="ML131" s="1">
        <v>6.9</v>
      </c>
      <c r="MM131" s="1">
        <v>8.6300000000000008</v>
      </c>
      <c r="MN131" s="1">
        <v>8.6300000000000008</v>
      </c>
      <c r="MO131" s="1">
        <v>8.3400000000000016</v>
      </c>
      <c r="MP131" s="1">
        <v>8.83</v>
      </c>
      <c r="MQ131" s="1">
        <v>7.6300000000000008</v>
      </c>
      <c r="MR131" s="1">
        <v>3.13</v>
      </c>
      <c r="MS131" s="1">
        <v>2.9499999999999997</v>
      </c>
      <c r="MT131">
        <v>2.73</v>
      </c>
      <c r="MU131">
        <v>1.7</v>
      </c>
    </row>
    <row r="132" spans="1:359" ht="15.75" x14ac:dyDescent="0.25">
      <c r="A132" s="8" t="s">
        <v>0</v>
      </c>
      <c r="B132" s="39">
        <v>30161</v>
      </c>
      <c r="C132" s="39" t="s">
        <v>116</v>
      </c>
      <c r="D132" s="39" t="s">
        <v>130</v>
      </c>
      <c r="E132" s="39" t="s">
        <v>201</v>
      </c>
      <c r="F132" s="39" t="s">
        <v>28</v>
      </c>
      <c r="G132" s="39" t="s">
        <v>213</v>
      </c>
      <c r="H132" s="41">
        <v>60.6</v>
      </c>
      <c r="I132" s="39" t="s">
        <v>119</v>
      </c>
      <c r="J132" s="40">
        <v>38.188961029052699</v>
      </c>
      <c r="K132" s="39">
        <v>16.696085</v>
      </c>
      <c r="L132" s="39">
        <v>80.315639399999995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>
        <v>1.85</v>
      </c>
      <c r="KL132" s="1">
        <v>0.9</v>
      </c>
      <c r="KM132" s="1">
        <v>1.86</v>
      </c>
      <c r="KN132" s="1">
        <v>2.1800000000000002</v>
      </c>
      <c r="KO132" s="1">
        <v>2.56</v>
      </c>
      <c r="KP132" s="1">
        <v>2.83</v>
      </c>
      <c r="KQ132" s="1">
        <v>3.49</v>
      </c>
      <c r="KR132" s="1">
        <v>6.17</v>
      </c>
      <c r="KS132" s="1">
        <v>4.67</v>
      </c>
      <c r="KT132" s="1">
        <v>3.98</v>
      </c>
      <c r="KU132" s="1">
        <v>3.64</v>
      </c>
      <c r="KV132" s="1">
        <v>2.88</v>
      </c>
      <c r="KW132" s="1">
        <v>2.21</v>
      </c>
      <c r="KX132" s="1">
        <v>1.81</v>
      </c>
      <c r="KY132" s="1">
        <v>2.2599999999999998</v>
      </c>
      <c r="KZ132" s="1">
        <v>2.85</v>
      </c>
      <c r="LA132" s="1">
        <v>2.69</v>
      </c>
      <c r="LB132" s="1">
        <v>3.03</v>
      </c>
      <c r="LC132" s="1">
        <v>3.08</v>
      </c>
      <c r="LD132" s="1">
        <v>3.94</v>
      </c>
      <c r="LE132" s="1">
        <v>4.95</v>
      </c>
      <c r="LF132" s="1">
        <v>6.08</v>
      </c>
      <c r="LG132" s="1">
        <v>3.02</v>
      </c>
      <c r="LH132" s="1">
        <v>1.96</v>
      </c>
      <c r="LI132" s="1">
        <v>2.2799999999999998</v>
      </c>
      <c r="LJ132" s="1">
        <v>1.5899999999999999</v>
      </c>
      <c r="LK132" s="1">
        <v>2.0199999999999996</v>
      </c>
      <c r="LL132" s="1">
        <v>2.44</v>
      </c>
      <c r="LM132" s="1">
        <v>2.69</v>
      </c>
      <c r="LN132" s="1">
        <v>3.09</v>
      </c>
      <c r="LO132" s="1">
        <v>3.6099999999999994</v>
      </c>
      <c r="LP132" s="1">
        <v>4.3899999999999997</v>
      </c>
      <c r="LQ132" s="1">
        <v>3.8099999999999996</v>
      </c>
      <c r="LR132" s="1">
        <v>5.48</v>
      </c>
      <c r="LS132" s="1">
        <v>3.92</v>
      </c>
      <c r="LT132" s="1">
        <v>2.81</v>
      </c>
      <c r="LU132" s="1">
        <v>2.3899999999999997</v>
      </c>
      <c r="LV132" s="1">
        <v>2.71</v>
      </c>
      <c r="LW132" s="1">
        <v>3.0999999999999996</v>
      </c>
      <c r="LX132" s="1">
        <v>2.38</v>
      </c>
      <c r="LY132" s="1">
        <v>2.52</v>
      </c>
      <c r="LZ132" s="1">
        <v>2.94</v>
      </c>
      <c r="MA132" s="1">
        <v>3.99</v>
      </c>
      <c r="MB132" s="1">
        <v>5.6899999999999995</v>
      </c>
      <c r="MC132" s="1">
        <v>6.42</v>
      </c>
      <c r="MD132" s="1">
        <v>6.5</v>
      </c>
      <c r="ME132" s="1">
        <v>3.2</v>
      </c>
      <c r="MF132" s="1">
        <v>2.0999999999999996</v>
      </c>
      <c r="MG132" s="1">
        <v>1.7</v>
      </c>
      <c r="MH132" s="1">
        <v>2.2000000000000002</v>
      </c>
      <c r="MI132" s="1">
        <v>1.79</v>
      </c>
      <c r="MJ132" s="1">
        <v>1.6599999999999997</v>
      </c>
      <c r="MK132" s="1">
        <v>2.69</v>
      </c>
      <c r="ML132" s="1">
        <v>3.3</v>
      </c>
      <c r="MM132" s="1">
        <v>4.5</v>
      </c>
      <c r="MN132" s="1">
        <v>4.8</v>
      </c>
      <c r="MO132" s="1">
        <v>4.3</v>
      </c>
      <c r="MP132" s="1">
        <v>2.4899999999999998</v>
      </c>
      <c r="MQ132" s="1">
        <v>3.3</v>
      </c>
      <c r="MR132" s="1">
        <v>2.29</v>
      </c>
      <c r="MS132" s="1">
        <v>2.1</v>
      </c>
      <c r="MT132">
        <v>1.9</v>
      </c>
      <c r="MU132">
        <v>2.21</v>
      </c>
    </row>
    <row r="133" spans="1:359" ht="15.75" x14ac:dyDescent="0.25">
      <c r="A133" s="8" t="s">
        <v>0</v>
      </c>
      <c r="B133" s="39">
        <v>30165</v>
      </c>
      <c r="C133" s="39" t="s">
        <v>116</v>
      </c>
      <c r="D133" s="39" t="s">
        <v>141</v>
      </c>
      <c r="E133" s="39" t="s">
        <v>202</v>
      </c>
      <c r="F133" s="39" t="s">
        <v>91</v>
      </c>
      <c r="G133" s="39" t="s">
        <v>213</v>
      </c>
      <c r="H133" s="41">
        <v>50</v>
      </c>
      <c r="I133" s="39" t="s">
        <v>119</v>
      </c>
      <c r="J133" s="40">
        <v>60.556499481201101</v>
      </c>
      <c r="K133" s="39">
        <v>16.9020549</v>
      </c>
      <c r="L133" s="39">
        <v>80.289054399999998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>
        <v>0.23</v>
      </c>
      <c r="KL133" s="1">
        <v>0.1</v>
      </c>
      <c r="KM133" s="1">
        <v>0.4</v>
      </c>
      <c r="KN133" s="1">
        <v>0.7</v>
      </c>
      <c r="KO133" s="1">
        <v>0.69</v>
      </c>
      <c r="KP133" s="1">
        <v>0.7</v>
      </c>
      <c r="KQ133" s="1">
        <v>2.2200000000000002</v>
      </c>
      <c r="KR133" s="1">
        <v>3.4</v>
      </c>
      <c r="KS133" s="1">
        <v>3.05</v>
      </c>
      <c r="KT133" s="1">
        <v>3.75</v>
      </c>
      <c r="KU133" s="1">
        <v>3.02</v>
      </c>
      <c r="KV133" s="1">
        <v>1.18</v>
      </c>
      <c r="KW133" s="1">
        <v>0.69</v>
      </c>
      <c r="KX133" s="1">
        <v>0.75</v>
      </c>
      <c r="KY133" s="1">
        <v>0.72</v>
      </c>
      <c r="KZ133" s="1">
        <v>1.47</v>
      </c>
      <c r="LA133" s="1">
        <v>2.3199999999999998</v>
      </c>
      <c r="LB133" s="1">
        <v>2.41</v>
      </c>
      <c r="LC133" s="1">
        <v>1.75</v>
      </c>
      <c r="LD133" s="1">
        <v>1.93</v>
      </c>
      <c r="LE133" s="1">
        <v>1.56</v>
      </c>
      <c r="LF133" s="1">
        <v>2.12</v>
      </c>
      <c r="LG133" s="1">
        <v>1.29</v>
      </c>
      <c r="LH133" s="1">
        <v>0.25000000000000011</v>
      </c>
      <c r="LI133" s="1">
        <v>0.4700000000000002</v>
      </c>
      <c r="LJ133" s="1">
        <v>0.48</v>
      </c>
      <c r="LK133" s="1">
        <v>0.32999999999999996</v>
      </c>
      <c r="LL133" s="1">
        <v>0.52</v>
      </c>
      <c r="LM133" s="1">
        <v>0.9</v>
      </c>
      <c r="LN133" s="1">
        <v>0.9</v>
      </c>
      <c r="LO133" s="1">
        <v>0.92999999999999994</v>
      </c>
      <c r="LP133" s="1">
        <v>1.9300000000000002</v>
      </c>
      <c r="LQ133" s="1">
        <v>1.25</v>
      </c>
      <c r="LR133" s="1">
        <v>2.56</v>
      </c>
      <c r="LS133" s="1">
        <v>2.33</v>
      </c>
      <c r="LT133" s="1">
        <v>0.53</v>
      </c>
      <c r="LU133" s="1">
        <v>0.64999999999999991</v>
      </c>
      <c r="LV133" s="1">
        <v>0.60000000000000009</v>
      </c>
      <c r="LW133" s="1">
        <v>0.75</v>
      </c>
      <c r="LX133" s="1">
        <v>0.56999999999999984</v>
      </c>
      <c r="LY133" s="1">
        <v>1.8599999999999999</v>
      </c>
      <c r="LZ133" s="1">
        <v>2.14</v>
      </c>
      <c r="MA133" s="1">
        <v>3.7600000000000002</v>
      </c>
      <c r="MB133" s="1">
        <v>3.8299999999999996</v>
      </c>
      <c r="MC133" s="1">
        <v>4.32</v>
      </c>
      <c r="MD133" s="1">
        <v>4.7699999999999996</v>
      </c>
      <c r="ME133" s="1">
        <v>3.1</v>
      </c>
      <c r="MF133" s="1">
        <v>0.94</v>
      </c>
      <c r="MG133" s="1">
        <v>1.2</v>
      </c>
      <c r="MH133" s="1">
        <v>0.42999999999999994</v>
      </c>
      <c r="MI133" s="1">
        <v>0.62999999999999989</v>
      </c>
      <c r="MJ133" s="1">
        <v>1.1300000000000003</v>
      </c>
      <c r="MK133" s="1">
        <v>0.98</v>
      </c>
      <c r="ML133" s="1">
        <v>1.03</v>
      </c>
      <c r="MM133" s="1">
        <v>1.6</v>
      </c>
      <c r="MN133" s="1">
        <v>2.4</v>
      </c>
      <c r="MO133" s="1">
        <v>2.23</v>
      </c>
      <c r="MP133" s="1">
        <v>2.0299999999999998</v>
      </c>
      <c r="MQ133" s="1">
        <v>1.85</v>
      </c>
      <c r="MR133" s="1">
        <v>0.42999999999999994</v>
      </c>
      <c r="MS133" s="1">
        <v>0.79</v>
      </c>
      <c r="MT133">
        <v>0.8</v>
      </c>
      <c r="MU133">
        <v>2.09</v>
      </c>
    </row>
    <row r="134" spans="1:359" ht="15.75" x14ac:dyDescent="0.25">
      <c r="A134" s="8" t="s">
        <v>0</v>
      </c>
      <c r="B134" s="39">
        <v>30166</v>
      </c>
      <c r="C134" s="39" t="s">
        <v>116</v>
      </c>
      <c r="D134" s="39" t="s">
        <v>174</v>
      </c>
      <c r="E134" s="39" t="s">
        <v>203</v>
      </c>
      <c r="F134" s="39" t="s">
        <v>204</v>
      </c>
      <c r="G134" s="39" t="s">
        <v>213</v>
      </c>
      <c r="H134" s="41">
        <v>72.7</v>
      </c>
      <c r="I134" s="39" t="s">
        <v>61</v>
      </c>
      <c r="J134" s="40">
        <v>137.09660339355401</v>
      </c>
      <c r="K134" s="39">
        <v>16.912654</v>
      </c>
      <c r="L134" s="39">
        <v>80.778244000000001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>
        <v>7.26</v>
      </c>
      <c r="KL134" s="1">
        <v>12.74</v>
      </c>
      <c r="KM134" s="1">
        <v>11.75</v>
      </c>
      <c r="KN134" s="1">
        <v>11.7</v>
      </c>
      <c r="KO134" s="1">
        <v>11.96</v>
      </c>
      <c r="KP134" s="1">
        <v>15.49</v>
      </c>
      <c r="KQ134" s="1">
        <v>17.2</v>
      </c>
      <c r="KR134" s="1">
        <v>19.18</v>
      </c>
      <c r="KS134" s="1">
        <v>21.77</v>
      </c>
      <c r="KT134" s="1">
        <v>21.32</v>
      </c>
      <c r="KU134" s="1">
        <v>21.5</v>
      </c>
      <c r="KV134" s="1">
        <v>20.71</v>
      </c>
      <c r="KW134" s="1">
        <v>18.63</v>
      </c>
      <c r="KX134" s="1">
        <v>14.1</v>
      </c>
      <c r="KY134" s="1">
        <v>13.78</v>
      </c>
      <c r="KZ134" s="1">
        <v>13.47</v>
      </c>
      <c r="LA134" s="1">
        <v>14.23</v>
      </c>
      <c r="LB134" s="1">
        <v>14.75</v>
      </c>
      <c r="LC134" s="1">
        <v>14.42</v>
      </c>
      <c r="LD134" s="1">
        <v>19.28</v>
      </c>
      <c r="LE134" s="1">
        <v>20.87</v>
      </c>
      <c r="LF134" s="1">
        <v>21.82</v>
      </c>
      <c r="LG134" s="1">
        <v>21.3</v>
      </c>
      <c r="LH134" s="1">
        <v>19.02</v>
      </c>
      <c r="LI134" s="1">
        <v>17.670000000000002</v>
      </c>
      <c r="LJ134" s="1">
        <v>13.15</v>
      </c>
      <c r="LK134" s="1">
        <v>12.08</v>
      </c>
      <c r="LL134" s="1">
        <v>12</v>
      </c>
      <c r="LM134" s="1">
        <v>13.549999999999999</v>
      </c>
      <c r="LN134" s="1">
        <v>16.850000000000001</v>
      </c>
      <c r="LO134" s="1">
        <v>19</v>
      </c>
      <c r="LP134" s="1">
        <v>19.14</v>
      </c>
      <c r="LQ134" s="1">
        <v>19.25</v>
      </c>
      <c r="LR134" s="1">
        <v>20.54</v>
      </c>
      <c r="LS134" s="1">
        <v>19.720000000000002</v>
      </c>
      <c r="LT134" s="1">
        <v>16.650000000000002</v>
      </c>
      <c r="LU134" s="1">
        <v>16.3</v>
      </c>
      <c r="LV134" s="1">
        <v>15.9</v>
      </c>
      <c r="LW134" s="1">
        <v>17.090000000000003</v>
      </c>
      <c r="LX134" s="1">
        <v>17.8</v>
      </c>
      <c r="LY134" s="1">
        <v>18</v>
      </c>
      <c r="LZ134" s="1">
        <v>19.05</v>
      </c>
      <c r="MA134" s="1">
        <v>20.650000000000002</v>
      </c>
      <c r="MB134" s="1">
        <v>22.8</v>
      </c>
      <c r="MC134" s="1">
        <v>24.200000000000003</v>
      </c>
      <c r="MD134" s="1">
        <v>24.090000000000003</v>
      </c>
      <c r="ME134" s="1">
        <v>23.5</v>
      </c>
      <c r="MF134" s="1">
        <v>21.1</v>
      </c>
      <c r="MG134" s="1">
        <v>15.020000000000001</v>
      </c>
      <c r="MH134" s="1">
        <v>14.1</v>
      </c>
      <c r="MI134" s="1">
        <v>14.129999999999999</v>
      </c>
      <c r="MJ134" s="1">
        <v>14.6</v>
      </c>
      <c r="MK134" s="1">
        <v>16.100000000000001</v>
      </c>
      <c r="ML134" s="1">
        <v>17.8</v>
      </c>
      <c r="MM134" s="1">
        <v>20</v>
      </c>
      <c r="MN134" s="1">
        <v>23.1</v>
      </c>
      <c r="MO134" s="1">
        <v>23.5</v>
      </c>
      <c r="MP134" s="1">
        <v>23.400000000000002</v>
      </c>
      <c r="MQ134" s="1">
        <v>22.8</v>
      </c>
      <c r="MR134" s="1">
        <v>18.900000000000002</v>
      </c>
      <c r="MS134" s="1">
        <v>18.149999999999999</v>
      </c>
      <c r="MT134">
        <v>9.1999999999999993</v>
      </c>
      <c r="MU134">
        <v>7.2</v>
      </c>
    </row>
    <row r="135" spans="1:359" ht="15.75" x14ac:dyDescent="0.25">
      <c r="A135" s="8" t="s">
        <v>0</v>
      </c>
      <c r="B135" s="39">
        <v>30167</v>
      </c>
      <c r="C135" s="39" t="s">
        <v>116</v>
      </c>
      <c r="D135" s="39" t="s">
        <v>134</v>
      </c>
      <c r="E135" s="39" t="s">
        <v>134</v>
      </c>
      <c r="F135" s="39" t="s">
        <v>91</v>
      </c>
      <c r="G135" s="39" t="s">
        <v>213</v>
      </c>
      <c r="H135" s="41">
        <v>40.9</v>
      </c>
      <c r="I135" s="39" t="s">
        <v>124</v>
      </c>
      <c r="J135" s="40">
        <v>101.471725463867</v>
      </c>
      <c r="K135" s="39">
        <v>17.109808000000001</v>
      </c>
      <c r="L135" s="39">
        <v>80.607371999999998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>
        <v>0.74</v>
      </c>
      <c r="KL135" s="1">
        <v>0.85</v>
      </c>
      <c r="KM135" s="1">
        <v>2.7</v>
      </c>
      <c r="KN135" s="1">
        <v>2.56</v>
      </c>
      <c r="KO135" s="1">
        <v>4.0999999999999996</v>
      </c>
      <c r="KP135" s="1">
        <v>4.88</v>
      </c>
      <c r="KQ135" s="1">
        <v>5.25</v>
      </c>
      <c r="KR135" s="1">
        <v>7.32</v>
      </c>
      <c r="KS135" s="1">
        <v>8.5500000000000007</v>
      </c>
      <c r="KT135" s="1">
        <v>8.76</v>
      </c>
      <c r="KU135" s="1">
        <v>8.15</v>
      </c>
      <c r="KV135" s="1">
        <v>4.4800000000000004</v>
      </c>
      <c r="KW135" s="1">
        <v>3.07</v>
      </c>
      <c r="KX135" s="1">
        <v>3.05</v>
      </c>
      <c r="KY135" s="1">
        <v>2.86</v>
      </c>
      <c r="KZ135" s="1">
        <v>4.58</v>
      </c>
      <c r="LA135" s="1">
        <v>5.1100000000000003</v>
      </c>
      <c r="LB135" s="1">
        <v>5.58</v>
      </c>
      <c r="LC135" s="1">
        <v>5.91</v>
      </c>
      <c r="LD135" s="1">
        <v>7.75</v>
      </c>
      <c r="LE135" s="1">
        <v>9.75</v>
      </c>
      <c r="LF135" s="1">
        <v>10.050000000000001</v>
      </c>
      <c r="LG135" s="1">
        <v>5.8999999999999995</v>
      </c>
      <c r="LH135" s="1">
        <v>2.6</v>
      </c>
      <c r="LI135" s="1">
        <v>2.2200000000000002</v>
      </c>
      <c r="LJ135" s="1">
        <v>1.0499999999999998</v>
      </c>
      <c r="LK135" s="1">
        <v>2.87</v>
      </c>
      <c r="LL135" s="1">
        <v>3.97</v>
      </c>
      <c r="LM135" s="1">
        <v>5.0199999999999996</v>
      </c>
      <c r="LN135" s="1">
        <v>6.5</v>
      </c>
      <c r="LO135" s="1">
        <v>7</v>
      </c>
      <c r="LP135" s="1">
        <v>7.75</v>
      </c>
      <c r="LQ135" s="1">
        <v>8.41</v>
      </c>
      <c r="LR135" s="1">
        <v>10.54</v>
      </c>
      <c r="LS135" s="1">
        <v>5.64</v>
      </c>
      <c r="LT135" s="1">
        <v>5.1099999999999994</v>
      </c>
      <c r="LU135" s="1">
        <v>5.54</v>
      </c>
      <c r="LV135" s="1">
        <v>6.3999999999999995</v>
      </c>
      <c r="LW135" s="1">
        <v>7.41</v>
      </c>
      <c r="LX135" s="1">
        <v>7.0299999999999994</v>
      </c>
      <c r="LY135" s="1">
        <v>7.15</v>
      </c>
      <c r="LZ135" s="1">
        <v>8.73</v>
      </c>
      <c r="MA135" s="1">
        <v>10.029999999999999</v>
      </c>
      <c r="MB135" s="1">
        <v>11.73</v>
      </c>
      <c r="MC135" s="1">
        <v>12.65</v>
      </c>
      <c r="MD135" s="1">
        <v>12.55</v>
      </c>
      <c r="ME135" s="1">
        <v>5.82</v>
      </c>
      <c r="MF135" s="1">
        <v>3.44</v>
      </c>
      <c r="MG135" s="1">
        <v>1.7199999999999998</v>
      </c>
      <c r="MH135" s="1">
        <v>3</v>
      </c>
      <c r="MI135" s="1">
        <v>4</v>
      </c>
      <c r="MJ135" s="1">
        <v>4.8499999999999996</v>
      </c>
      <c r="MK135" s="1">
        <v>5.8</v>
      </c>
      <c r="ML135" s="1">
        <v>6.3999999999999995</v>
      </c>
      <c r="MM135" s="1">
        <v>7.6</v>
      </c>
      <c r="MN135" s="1">
        <v>7.9</v>
      </c>
      <c r="MO135" s="1">
        <v>9.379999999999999</v>
      </c>
      <c r="MP135" s="1">
        <v>9.1999999999999993</v>
      </c>
      <c r="MQ135" s="1">
        <v>7.1999999999999993</v>
      </c>
      <c r="MR135" s="1">
        <v>5</v>
      </c>
      <c r="MS135" s="1">
        <v>1.7000000000000002</v>
      </c>
      <c r="MT135">
        <v>1.4</v>
      </c>
      <c r="MU135">
        <v>2.5499999999999998</v>
      </c>
    </row>
    <row r="136" spans="1:359" ht="15.75" x14ac:dyDescent="0.25">
      <c r="A136" s="8" t="s">
        <v>0</v>
      </c>
      <c r="B136" s="39">
        <v>30168</v>
      </c>
      <c r="C136" s="39" t="s">
        <v>116</v>
      </c>
      <c r="D136" s="39" t="s">
        <v>134</v>
      </c>
      <c r="E136" s="39" t="s">
        <v>205</v>
      </c>
      <c r="F136" s="39" t="s">
        <v>4</v>
      </c>
      <c r="G136" s="39" t="s">
        <v>213</v>
      </c>
      <c r="H136" s="41">
        <v>45.5</v>
      </c>
      <c r="I136" s="39" t="s">
        <v>124</v>
      </c>
      <c r="J136" s="40">
        <v>104.41600036621</v>
      </c>
      <c r="K136" s="39">
        <v>17.095120999999999</v>
      </c>
      <c r="L136" s="39">
        <v>80.535985999999994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>
        <v>8.74</v>
      </c>
      <c r="KL136" s="1">
        <v>6.37</v>
      </c>
      <c r="KM136" s="1">
        <v>6.95</v>
      </c>
      <c r="KN136" s="1">
        <v>7.31</v>
      </c>
      <c r="KO136" s="1">
        <v>9.9700000000000006</v>
      </c>
      <c r="KP136" s="1">
        <v>11.87</v>
      </c>
      <c r="KQ136" s="1">
        <v>12.57</v>
      </c>
      <c r="KR136" s="1">
        <v>13.72</v>
      </c>
      <c r="KS136" s="1">
        <v>14.1</v>
      </c>
      <c r="KT136" s="1">
        <v>13.94</v>
      </c>
      <c r="KU136" s="1">
        <v>11.35</v>
      </c>
      <c r="KV136" s="1">
        <v>8.93</v>
      </c>
      <c r="KW136" s="1">
        <v>6.69</v>
      </c>
      <c r="KX136" s="1">
        <v>7.14</v>
      </c>
      <c r="KY136" s="1">
        <v>7.45</v>
      </c>
      <c r="KZ136" s="1">
        <v>8.33</v>
      </c>
      <c r="LA136" s="1">
        <v>8.93</v>
      </c>
      <c r="LB136" s="1">
        <v>10.199999999999999</v>
      </c>
      <c r="LC136" s="1">
        <v>9.2799999999999994</v>
      </c>
      <c r="LD136" s="1">
        <v>12.46</v>
      </c>
      <c r="LE136" s="1">
        <v>13.71</v>
      </c>
      <c r="LF136" s="1">
        <v>14.87</v>
      </c>
      <c r="LG136" s="1">
        <v>10.74</v>
      </c>
      <c r="LH136" s="1">
        <v>7.61</v>
      </c>
      <c r="LI136" s="1">
        <v>7.9699999999999989</v>
      </c>
      <c r="LJ136" s="1">
        <v>6.88</v>
      </c>
      <c r="LK136" s="1">
        <v>7.6199999999999992</v>
      </c>
      <c r="LL136" s="1">
        <v>8.25</v>
      </c>
      <c r="LM136" s="1">
        <v>9.9699999999999989</v>
      </c>
      <c r="LN136" s="1">
        <v>10.53</v>
      </c>
      <c r="LO136" s="1">
        <v>11.58</v>
      </c>
      <c r="LP136" s="1">
        <v>11.78</v>
      </c>
      <c r="LQ136" s="1">
        <v>13.049999999999999</v>
      </c>
      <c r="LR136" s="1">
        <v>14.53</v>
      </c>
      <c r="LS136" s="1">
        <v>10.129999999999999</v>
      </c>
      <c r="LT136" s="1">
        <v>8.879999999999999</v>
      </c>
      <c r="LU136" s="1">
        <v>8.2999999999999989</v>
      </c>
      <c r="LV136" s="1">
        <v>9.0399999999999991</v>
      </c>
      <c r="LW136" s="1">
        <v>10.67</v>
      </c>
      <c r="LX136" s="1">
        <v>10.24</v>
      </c>
      <c r="LY136" s="1">
        <v>10.58</v>
      </c>
      <c r="LZ136" s="1">
        <v>11.43</v>
      </c>
      <c r="MA136" s="1">
        <v>12.45</v>
      </c>
      <c r="MB136" s="1">
        <v>13.2</v>
      </c>
      <c r="MC136" s="1">
        <v>15.499999999999998</v>
      </c>
      <c r="MD136" s="1">
        <v>15.24</v>
      </c>
      <c r="ME136" s="1">
        <v>8.9</v>
      </c>
      <c r="MF136" s="1">
        <v>5.9399999999999995</v>
      </c>
      <c r="MG136" s="1">
        <v>4.09</v>
      </c>
      <c r="MH136" s="1">
        <v>5.0999999999999996</v>
      </c>
      <c r="MI136" s="1">
        <v>6.8</v>
      </c>
      <c r="MJ136" s="1">
        <v>7.85</v>
      </c>
      <c r="MK136" s="1">
        <v>9.5</v>
      </c>
      <c r="ML136" s="1">
        <v>9.7999999999999989</v>
      </c>
      <c r="MM136" s="1">
        <v>11.4</v>
      </c>
      <c r="MN136" s="1">
        <v>12.4</v>
      </c>
      <c r="MO136" s="1">
        <v>13.36</v>
      </c>
      <c r="MP136" s="1">
        <v>12.1</v>
      </c>
      <c r="MQ136" s="1">
        <v>11</v>
      </c>
      <c r="MR136" s="1">
        <v>7.6999999999999993</v>
      </c>
      <c r="MS136" s="1">
        <v>4.0999999999999996</v>
      </c>
      <c r="MT136">
        <v>5.0999999999999996</v>
      </c>
      <c r="MU136">
        <v>6.47</v>
      </c>
    </row>
    <row r="137" spans="1:359" ht="15.75" x14ac:dyDescent="0.25">
      <c r="A137" s="8" t="s">
        <v>0</v>
      </c>
      <c r="B137" s="39">
        <v>30169</v>
      </c>
      <c r="C137" s="39" t="s">
        <v>116</v>
      </c>
      <c r="D137" s="39" t="s">
        <v>146</v>
      </c>
      <c r="E137" s="39" t="s">
        <v>206</v>
      </c>
      <c r="F137" s="39" t="s">
        <v>91</v>
      </c>
      <c r="G137" s="39" t="s">
        <v>213</v>
      </c>
      <c r="H137" s="41">
        <v>50</v>
      </c>
      <c r="I137" s="39" t="s">
        <v>119</v>
      </c>
      <c r="J137" s="40">
        <v>68.432548522949205</v>
      </c>
      <c r="K137" s="39">
        <v>16.958599799999998</v>
      </c>
      <c r="L137" s="39">
        <v>80.191695800000005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>
        <v>1.9</v>
      </c>
      <c r="KL137" s="1">
        <v>0.15</v>
      </c>
      <c r="KM137" s="1">
        <v>1.52</v>
      </c>
      <c r="KN137" s="1">
        <v>1.88</v>
      </c>
      <c r="KO137" s="1">
        <v>2.8</v>
      </c>
      <c r="KP137" s="1">
        <v>3.22</v>
      </c>
      <c r="KQ137" s="1">
        <v>4.08</v>
      </c>
      <c r="KR137" s="1">
        <v>4.13</v>
      </c>
      <c r="KS137" s="1">
        <v>4.3899999999999997</v>
      </c>
      <c r="KT137" s="1">
        <v>4.62</v>
      </c>
      <c r="KU137" s="1">
        <v>3.97</v>
      </c>
      <c r="KV137" s="1">
        <v>2.75</v>
      </c>
      <c r="KW137" s="1">
        <v>1.34</v>
      </c>
      <c r="KX137" s="1">
        <v>1.23</v>
      </c>
      <c r="KY137" s="1">
        <v>1.93</v>
      </c>
      <c r="KZ137" s="1">
        <v>2.82</v>
      </c>
      <c r="LA137" s="1">
        <v>3.02</v>
      </c>
      <c r="LB137" s="1">
        <v>3.59</v>
      </c>
      <c r="LC137" s="1">
        <v>4.01</v>
      </c>
      <c r="LD137" s="1">
        <v>4.2</v>
      </c>
      <c r="LE137" s="1">
        <v>4.37</v>
      </c>
      <c r="LF137" s="1">
        <v>4.5199999999999996</v>
      </c>
      <c r="LG137" s="1">
        <v>2.33</v>
      </c>
      <c r="LH137" s="1">
        <v>1.6800000000000002</v>
      </c>
      <c r="LI137" s="1">
        <v>2.4000000000000004</v>
      </c>
      <c r="LJ137" s="1">
        <v>1.3800000000000003</v>
      </c>
      <c r="LK137" s="1">
        <v>2.1</v>
      </c>
      <c r="LL137" s="1">
        <v>2.73</v>
      </c>
      <c r="LM137" s="1">
        <v>3.3000000000000003</v>
      </c>
      <c r="LN137" s="1">
        <v>3.5800000000000005</v>
      </c>
      <c r="LO137" s="1">
        <v>3.98</v>
      </c>
      <c r="LP137" s="1">
        <v>4.2799999999999994</v>
      </c>
      <c r="LQ137" s="1">
        <v>4.4499999999999993</v>
      </c>
      <c r="LR137" s="1">
        <v>5.54</v>
      </c>
      <c r="LS137" s="1">
        <v>4.59</v>
      </c>
      <c r="LT137" s="1">
        <v>2.1800000000000002</v>
      </c>
      <c r="LU137" s="1">
        <v>2.3400000000000003</v>
      </c>
      <c r="LV137" s="1">
        <v>2.6300000000000003</v>
      </c>
      <c r="LW137" s="1">
        <v>3.4899999999999998</v>
      </c>
      <c r="LX137" s="1">
        <v>2.87</v>
      </c>
      <c r="LY137" s="1">
        <v>3.4499999999999997</v>
      </c>
      <c r="LZ137" s="1">
        <v>3.98</v>
      </c>
      <c r="MA137" s="1">
        <v>4.2799999999999994</v>
      </c>
      <c r="MB137" s="1">
        <v>4.91</v>
      </c>
      <c r="MC137" s="1">
        <v>5.13</v>
      </c>
      <c r="MD137" s="1">
        <v>5.3699999999999992</v>
      </c>
      <c r="ME137" s="1">
        <v>4.0999999999999996</v>
      </c>
      <c r="MF137" s="1">
        <v>2.79</v>
      </c>
      <c r="MG137" s="1">
        <v>1.2</v>
      </c>
      <c r="MH137" s="1">
        <v>1.48</v>
      </c>
      <c r="MI137" s="1">
        <v>2.1800000000000002</v>
      </c>
      <c r="MJ137" s="1">
        <v>2.8800000000000003</v>
      </c>
      <c r="MK137" s="1">
        <v>3.48</v>
      </c>
      <c r="ML137" s="1">
        <v>3.68</v>
      </c>
      <c r="MM137" s="1">
        <v>3.98</v>
      </c>
      <c r="MN137" s="1">
        <v>4.58</v>
      </c>
      <c r="MO137" s="1">
        <v>4.79</v>
      </c>
      <c r="MP137" s="1">
        <v>4.88</v>
      </c>
      <c r="MQ137" s="1">
        <v>4.5999999999999996</v>
      </c>
      <c r="MR137" s="1">
        <v>1.6800000000000002</v>
      </c>
      <c r="MS137" s="1">
        <v>2.09</v>
      </c>
      <c r="MT137">
        <v>1.73</v>
      </c>
      <c r="MU137">
        <v>3.26</v>
      </c>
    </row>
    <row r="138" spans="1:359" ht="15.75" x14ac:dyDescent="0.25">
      <c r="A138" s="8" t="s">
        <v>0</v>
      </c>
      <c r="B138" s="39">
        <v>30170</v>
      </c>
      <c r="C138" s="39" t="s">
        <v>116</v>
      </c>
      <c r="D138" s="39" t="s">
        <v>148</v>
      </c>
      <c r="E138" s="39" t="s">
        <v>207</v>
      </c>
      <c r="F138" s="39" t="s">
        <v>4</v>
      </c>
      <c r="G138" s="39" t="s">
        <v>213</v>
      </c>
      <c r="H138" s="41">
        <v>50</v>
      </c>
      <c r="I138" s="39" t="s">
        <v>119</v>
      </c>
      <c r="J138" s="40">
        <v>45.163974761962798</v>
      </c>
      <c r="K138" s="39">
        <v>16.717817700000001</v>
      </c>
      <c r="L138" s="39">
        <v>80.380757099999997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>
        <v>2.6</v>
      </c>
      <c r="KL138" s="1">
        <v>0.9</v>
      </c>
      <c r="KM138" s="1">
        <v>1.85</v>
      </c>
      <c r="KN138" s="1">
        <v>2.1800000000000002</v>
      </c>
      <c r="KO138" s="1">
        <v>2.5499999999999998</v>
      </c>
      <c r="KP138" s="1">
        <v>2.73</v>
      </c>
      <c r="KQ138" s="1">
        <v>3.28</v>
      </c>
      <c r="KR138" s="1">
        <v>3.77</v>
      </c>
      <c r="KS138" s="1">
        <v>3.97</v>
      </c>
      <c r="KT138" s="1">
        <v>3.55</v>
      </c>
      <c r="KU138" s="1">
        <v>3.1</v>
      </c>
      <c r="KV138" s="1">
        <v>2.69</v>
      </c>
      <c r="KW138" s="1">
        <v>2.31</v>
      </c>
      <c r="KX138" s="1">
        <v>2.14</v>
      </c>
      <c r="KY138" s="1">
        <v>2.44</v>
      </c>
      <c r="KZ138" s="1">
        <v>2.9</v>
      </c>
      <c r="LA138" s="1">
        <v>3.17</v>
      </c>
      <c r="LB138" s="1">
        <v>3.37</v>
      </c>
      <c r="LC138" s="1">
        <v>3.43</v>
      </c>
      <c r="LD138" s="1">
        <v>3.66</v>
      </c>
      <c r="LE138" s="1">
        <v>3.97</v>
      </c>
      <c r="LF138" s="1">
        <v>4.13</v>
      </c>
      <c r="LG138" s="1">
        <v>2.2200000000000002</v>
      </c>
      <c r="LH138" s="1">
        <v>1.7999999999999998</v>
      </c>
      <c r="LI138" s="1">
        <v>2.4700000000000002</v>
      </c>
      <c r="LJ138" s="1">
        <v>1.8000000000000003</v>
      </c>
      <c r="LK138" s="1">
        <v>2.11</v>
      </c>
      <c r="LL138" s="1">
        <v>2.5500000000000003</v>
      </c>
      <c r="LM138" s="1">
        <v>2.81</v>
      </c>
      <c r="LN138" s="1">
        <v>3.0500000000000003</v>
      </c>
      <c r="LO138" s="1">
        <v>3.25</v>
      </c>
      <c r="LP138" s="1">
        <v>3.52</v>
      </c>
      <c r="LQ138" s="1">
        <v>3.68</v>
      </c>
      <c r="LR138" s="1">
        <v>4.46</v>
      </c>
      <c r="LS138" s="1">
        <v>3.6199999999999997</v>
      </c>
      <c r="LT138" s="1">
        <v>3.36</v>
      </c>
      <c r="LU138" s="1">
        <v>2.63</v>
      </c>
      <c r="LV138" s="1">
        <v>2.5500000000000003</v>
      </c>
      <c r="LW138" s="1">
        <v>3.24</v>
      </c>
      <c r="LX138" s="1">
        <v>2.41</v>
      </c>
      <c r="LY138" s="1">
        <v>2.4300000000000002</v>
      </c>
      <c r="LZ138" s="1">
        <v>3.22</v>
      </c>
      <c r="MA138" s="1">
        <v>3.72</v>
      </c>
      <c r="MB138" s="1">
        <v>3.9499999999999997</v>
      </c>
      <c r="MC138" s="1">
        <v>4.1599999999999993</v>
      </c>
      <c r="MD138" s="1">
        <v>4.2899999999999991</v>
      </c>
      <c r="ME138" s="1">
        <v>1.8</v>
      </c>
      <c r="MF138" s="1">
        <v>1.96</v>
      </c>
      <c r="MG138" s="1">
        <v>1.7</v>
      </c>
      <c r="MH138" s="1">
        <v>1.85</v>
      </c>
      <c r="MI138" s="1">
        <v>2.25</v>
      </c>
      <c r="MJ138" s="1">
        <v>2.65</v>
      </c>
      <c r="MK138" s="1">
        <v>3.0500000000000003</v>
      </c>
      <c r="ML138" s="1">
        <v>2.85</v>
      </c>
      <c r="MM138" s="1">
        <v>3.15</v>
      </c>
      <c r="MN138" s="1">
        <v>2.9499999999999997</v>
      </c>
      <c r="MO138" s="1">
        <v>3.25</v>
      </c>
      <c r="MP138" s="1">
        <v>3.35</v>
      </c>
      <c r="MQ138" s="1">
        <v>3.0500000000000003</v>
      </c>
      <c r="MR138" s="1">
        <v>1.75</v>
      </c>
      <c r="MS138" s="1">
        <v>2.33</v>
      </c>
      <c r="MT138">
        <v>1.55</v>
      </c>
      <c r="MU138">
        <v>2.6</v>
      </c>
    </row>
    <row r="139" spans="1:359" ht="15.75" x14ac:dyDescent="0.25">
      <c r="A139" s="8" t="s">
        <v>0</v>
      </c>
      <c r="B139" s="39">
        <v>30171</v>
      </c>
      <c r="C139" s="39" t="s">
        <v>116</v>
      </c>
      <c r="D139" s="39" t="s">
        <v>160</v>
      </c>
      <c r="E139" s="39" t="s">
        <v>208</v>
      </c>
      <c r="F139" s="39" t="s">
        <v>4</v>
      </c>
      <c r="G139" s="39" t="s">
        <v>213</v>
      </c>
      <c r="H139" s="41">
        <v>68.2</v>
      </c>
      <c r="I139" s="39" t="s">
        <v>61</v>
      </c>
      <c r="J139" s="40">
        <v>30.491548538208001</v>
      </c>
      <c r="K139" s="39">
        <v>16.581175300000002</v>
      </c>
      <c r="L139" s="39">
        <v>80.680804100000003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>
        <v>28.71</v>
      </c>
      <c r="KL139" s="1">
        <v>17.78</v>
      </c>
      <c r="KM139" s="1">
        <v>18.579999999999998</v>
      </c>
      <c r="KN139" s="1">
        <v>18.75</v>
      </c>
      <c r="KO139" s="1">
        <v>19.22</v>
      </c>
      <c r="KP139" s="1">
        <v>28.9</v>
      </c>
      <c r="KQ139" s="1">
        <v>30.64</v>
      </c>
      <c r="KR139" s="1">
        <v>34.61</v>
      </c>
      <c r="KS139" s="1">
        <v>35.549999999999997</v>
      </c>
      <c r="KT139" s="1">
        <v>34.881</v>
      </c>
      <c r="KU139" s="1">
        <v>34.04</v>
      </c>
      <c r="KV139" s="1">
        <v>33.58</v>
      </c>
      <c r="KW139" s="1">
        <v>27.82</v>
      </c>
      <c r="KX139" s="1">
        <v>27.44</v>
      </c>
      <c r="KY139" s="1">
        <v>19.73</v>
      </c>
      <c r="KZ139" s="1">
        <v>22.55</v>
      </c>
      <c r="LA139" s="1">
        <v>24.8</v>
      </c>
      <c r="LB139" s="1">
        <v>26.5</v>
      </c>
      <c r="LC139" s="1">
        <v>28.43</v>
      </c>
      <c r="LD139" s="1">
        <v>27.1</v>
      </c>
      <c r="LE139" s="1">
        <v>29.25</v>
      </c>
      <c r="LF139" s="1">
        <v>29.96</v>
      </c>
      <c r="LG139" s="1">
        <v>32.65</v>
      </c>
      <c r="LH139" s="1">
        <v>30.79</v>
      </c>
      <c r="LI139" s="1">
        <v>28.220000000000002</v>
      </c>
      <c r="LJ139" s="1">
        <v>21.5</v>
      </c>
      <c r="LK139" s="1">
        <v>22.65</v>
      </c>
      <c r="LL139" s="1">
        <v>24.23</v>
      </c>
      <c r="LM139" s="1">
        <v>24.98</v>
      </c>
      <c r="LN139" s="1">
        <v>28.35</v>
      </c>
      <c r="LO139" s="1">
        <v>27.3</v>
      </c>
      <c r="LP139" s="1">
        <v>31.64</v>
      </c>
      <c r="LQ139" s="1">
        <v>32</v>
      </c>
      <c r="LR139" s="1">
        <v>30.85</v>
      </c>
      <c r="LS139" s="1">
        <v>33.6</v>
      </c>
      <c r="LT139" s="1">
        <v>27.740000000000002</v>
      </c>
      <c r="LU139" s="1">
        <v>24.400000000000002</v>
      </c>
      <c r="LV139" s="1">
        <v>24.85</v>
      </c>
      <c r="LW139" s="1">
        <v>25.39</v>
      </c>
      <c r="LX139" s="1">
        <v>23.51</v>
      </c>
      <c r="LY139" s="1">
        <v>23.71</v>
      </c>
      <c r="LZ139" s="1">
        <v>26.2</v>
      </c>
      <c r="MA139" s="1">
        <v>27.450000000000003</v>
      </c>
      <c r="MB139" s="1">
        <v>29.62</v>
      </c>
      <c r="MC139" s="1">
        <v>30.96</v>
      </c>
      <c r="MD139" s="1">
        <v>32.380000000000003</v>
      </c>
      <c r="ME139" s="1">
        <v>29.65</v>
      </c>
      <c r="MF139" s="1">
        <v>28.720000000000002</v>
      </c>
      <c r="MG139" s="1">
        <v>16.96</v>
      </c>
      <c r="MH139" s="1">
        <v>17.350000000000001</v>
      </c>
      <c r="MI139" s="1">
        <v>21.700000000000003</v>
      </c>
      <c r="MJ139" s="1">
        <v>19.900000000000002</v>
      </c>
      <c r="MK139" s="1">
        <v>24.1</v>
      </c>
      <c r="ML139" s="1">
        <v>25.5</v>
      </c>
      <c r="MM139" s="1">
        <v>27.1</v>
      </c>
      <c r="MN139" s="1">
        <v>28.900000000000002</v>
      </c>
      <c r="MO139" s="1">
        <v>26</v>
      </c>
      <c r="MP139" s="1">
        <v>28.1</v>
      </c>
      <c r="MQ139" s="1">
        <v>27.9</v>
      </c>
      <c r="MR139" s="1">
        <v>24.400000000000002</v>
      </c>
      <c r="MS139" s="1">
        <v>21.400000000000002</v>
      </c>
      <c r="MT139">
        <v>17.8</v>
      </c>
      <c r="MU139">
        <v>15.2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0447-B846-4F0C-AC4E-8D2A77388D81}">
  <dimension ref="A1:B7"/>
  <sheetViews>
    <sheetView workbookViewId="0">
      <selection activeCell="I33" sqref="I33"/>
    </sheetView>
  </sheetViews>
  <sheetFormatPr defaultRowHeight="15" x14ac:dyDescent="0.25"/>
  <cols>
    <col min="2" max="2" width="26.7109375" bestFit="1" customWidth="1"/>
  </cols>
  <sheetData>
    <row r="1" spans="1:2" x14ac:dyDescent="0.25">
      <c r="A1" s="1" t="s">
        <v>10</v>
      </c>
      <c r="B1" s="1" t="s">
        <v>217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55</v>
      </c>
    </row>
    <row r="4" spans="1:2" x14ac:dyDescent="0.25">
      <c r="A4" s="1">
        <v>3</v>
      </c>
      <c r="B4" s="1" t="s">
        <v>129</v>
      </c>
    </row>
    <row r="5" spans="1:2" x14ac:dyDescent="0.25">
      <c r="A5" s="1">
        <v>4</v>
      </c>
      <c r="B5" s="1" t="s">
        <v>61</v>
      </c>
    </row>
    <row r="6" spans="1:2" x14ac:dyDescent="0.25">
      <c r="A6" s="1">
        <v>5</v>
      </c>
      <c r="B6" s="1" t="s">
        <v>119</v>
      </c>
    </row>
    <row r="7" spans="1:2" x14ac:dyDescent="0.25">
      <c r="A7" s="1">
        <v>6</v>
      </c>
      <c r="B7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meta-historical</vt:lpstr>
      <vt:lpstr>stratification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GWAD-DATA-CENTER</dc:creator>
  <cp:lastModifiedBy>GWAD-SERVER</cp:lastModifiedBy>
  <dcterms:created xsi:type="dcterms:W3CDTF">2015-06-05T18:17:20Z</dcterms:created>
  <dcterms:modified xsi:type="dcterms:W3CDTF">2025-12-11T06:32:24Z</dcterms:modified>
</cp:coreProperties>
</file>